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7" t="inlineStr">
        <is>
          <t>Sweco</t>
        </is>
      </c>
      <c r="B38" s="17" t="inlineStr">
        <is>
          <t>(Junior) Project Manager – Volantis</t>
        </is>
      </c>
      <c r="C38" s="17" t="inlineStr">
        <is>
          <t>Venlo/Eindhoven, NL</t>
        </is>
      </c>
      <c r="D38" s="18" t="inlineStr">
        <is>
          <t>Hybrid</t>
        </is>
      </c>
      <c r="E38" s="17" t="inlineStr"/>
      <c r="F38" s="17" t="inlineStr">
        <is>
          <t>Company Site</t>
        </is>
      </c>
      <c r="G38" s="17" t="inlineStr">
        <is>
          <t>https://www.sweco.nl/solliciteren/?vacancy=66682</t>
        </is>
      </c>
      <c r="H38" s="19" t="n">
        <v>46238</v>
      </c>
      <c r="I38" s="18" t="inlineStr">
        <is>
          <t>Applied</t>
        </is>
      </c>
      <c r="J38" s="18" t="inlineStr"/>
      <c r="K38" s="14">
        <f>IF($H38="","",TODAY()-$H38)</f>
        <v/>
      </c>
      <c r="L38" s="19" t="inlineStr"/>
      <c r="M38" s="17" t="inlineStr"/>
      <c r="N38" s="19" t="inlineStr"/>
      <c r="O38" s="17" t="inlineStr">
        <is>
          <t>Pim Uiting</t>
        </is>
      </c>
      <c r="P38" s="17" t="inlineStr">
        <is>
          <t>pim.uiting@sweco.nl</t>
        </is>
      </c>
      <c r="Q38" s="17" t="inlineStr">
        <is>
          <t>netherlands/2026_08_04_sweco_volantis_pim_uiting</t>
        </is>
      </c>
      <c r="R38" s="18" t="inlineStr">
        <is>
          <t>Medium</t>
        </is>
      </c>
      <c r="S38" s="17" t="inlineStr">
        <is>
          <t>Graduate-friendly ("starters also welcome"). Fluent Dutch and English required, not disclosed per updated default.</t>
        </is>
      </c>
    </row>
    <row r="39" ht="15" customHeight="1" s="21">
      <c r="A39" s="17" t="inlineStr">
        <is>
          <t>Sweco</t>
        </is>
      </c>
      <c r="B39" s="17" t="inlineStr">
        <is>
          <t>Junior Soil Consultant – Environmental Consultancy</t>
        </is>
      </c>
      <c r="C39" s="17" t="inlineStr">
        <is>
          <t>Groningen, NL</t>
        </is>
      </c>
      <c r="D39" s="18" t="inlineStr">
        <is>
          <t>Hybrid</t>
        </is>
      </c>
      <c r="E39" s="17" t="inlineStr">
        <is>
          <t>EUR 3,442-4,100/month</t>
        </is>
      </c>
      <c r="F39" s="17" t="inlineStr">
        <is>
          <t>Company Site</t>
        </is>
      </c>
      <c r="G39" s="17" t="inlineStr">
        <is>
          <t>https://www.sweco.nl/solliciteren/?vacancy=66601</t>
        </is>
      </c>
      <c r="H39" s="19" t="n">
        <v>46238</v>
      </c>
      <c r="I39" s="18" t="inlineStr">
        <is>
          <t>Applied</t>
        </is>
      </c>
      <c r="J39" s="18" t="inlineStr"/>
      <c r="K39" s="14">
        <f>IF($H39="","",TODAY()-$H39)</f>
        <v/>
      </c>
      <c r="L39" s="19" t="inlineStr"/>
      <c r="M39" s="17" t="inlineStr"/>
      <c r="N39" s="19" t="inlineStr"/>
      <c r="O39" s="17" t="inlineStr">
        <is>
          <t>Mariska Moyaert</t>
        </is>
      </c>
      <c r="P39" s="17" t="inlineStr">
        <is>
          <t>mariska.moyaert@sweco.nl</t>
        </is>
      </c>
      <c r="Q39" s="17" t="inlineStr">
        <is>
          <t>netherlands/2026_08_04_sweco_mariska_moyaert</t>
        </is>
      </c>
      <c r="R39" s="18" t="inlineStr">
        <is>
          <t>Medium</t>
        </is>
      </c>
      <c r="S39" s="17" t="inlineStr">
        <is>
          <t>Domain-adjacent fit via real hydrology/water-resources/GIS coursework. Recent graduates explicitly welcomed. Dutch gap not disclosed per updated default.</t>
        </is>
      </c>
    </row>
    <row r="40" ht="15" customHeight="1" s="21">
      <c r="A40" s="17" t="inlineStr">
        <is>
          <t>Sweco</t>
        </is>
      </c>
      <c r="B40" s="17" t="inlineStr">
        <is>
          <t>Junior Fire Safety Advisor – Fire Safety &amp; Simulations</t>
        </is>
      </c>
      <c r="C40" s="17" t="inlineStr">
        <is>
          <t>Amsterdam/Venlo/De Bilt/Rotterdam/Eindhoven, NL</t>
        </is>
      </c>
      <c r="D40" s="18" t="inlineStr">
        <is>
          <t>Hybrid</t>
        </is>
      </c>
      <c r="E40" s="17" t="inlineStr">
        <is>
          <t>EUR 3,442-4,000/month</t>
        </is>
      </c>
      <c r="F40" s="17" t="inlineStr">
        <is>
          <t>Company Site</t>
        </is>
      </c>
      <c r="G40" s="17" t="inlineStr">
        <is>
          <t>https://www.sweco.nl/solliciteren/?vacancy=66548</t>
        </is>
      </c>
      <c r="H40" s="19" t="n">
        <v>46238</v>
      </c>
      <c r="I40" s="18" t="inlineStr">
        <is>
          <t>Applied</t>
        </is>
      </c>
      <c r="J40" s="18" t="inlineStr"/>
      <c r="K40" s="14">
        <f>IF($H40="","",TODAY()-$H40)</f>
        <v/>
      </c>
      <c r="L40" s="19" t="inlineStr"/>
      <c r="M40" s="17" t="inlineStr"/>
      <c r="N40" s="19" t="inlineStr"/>
      <c r="O40" s="17" t="inlineStr">
        <is>
          <t>Bart de Vries</t>
        </is>
      </c>
      <c r="P40" s="17" t="inlineStr">
        <is>
          <t>bart.devries@sweco.nl</t>
        </is>
      </c>
      <c r="Q40" s="17" t="inlineStr">
        <is>
          <t>netherlands/2026_08_04_sweco_bart_de_vries</t>
        </is>
      </c>
      <c r="R40" s="18" t="inlineStr">
        <is>
          <t>Low</t>
        </is>
      </c>
      <c r="S40" s="17" t="inlineStr">
        <is>
          <t>Same domain gap as the earlier Peeters Fire Safety application (different team: Fire Safety &amp; Simulations). No fire-safety/CFD background. Dutch B2 minimum not disclosed per updated default.</t>
        </is>
      </c>
    </row>
    <row r="41" ht="15" customHeight="1" s="21">
      <c r="A41" s="17" t="inlineStr">
        <is>
          <t>Sweco</t>
        </is>
      </c>
      <c r="B41" s="17" t="inlineStr">
        <is>
          <t>Junior Contract Writer Consultant – Civil Engineering (Northern Netherlands)</t>
        </is>
      </c>
      <c r="C41" s="17" t="inlineStr">
        <is>
          <t>Groningen/Leeuwarden, NL</t>
        </is>
      </c>
      <c r="D41" s="18" t="inlineStr">
        <is>
          <t>Hybrid</t>
        </is>
      </c>
      <c r="E41" s="17" t="inlineStr">
        <is>
          <t>EUR 3,442-4,100/month</t>
        </is>
      </c>
      <c r="F41" s="17" t="inlineStr">
        <is>
          <t>Company Site</t>
        </is>
      </c>
      <c r="G41" s="17" t="inlineStr">
        <is>
          <t>https://www.sweco.nl/solliciteren/?vacancy=65625</t>
        </is>
      </c>
      <c r="H41" s="19" t="n">
        <v>46238</v>
      </c>
      <c r="I41" s="18" t="inlineStr">
        <is>
          <t>Applied</t>
        </is>
      </c>
      <c r="J41" s="18" t="inlineStr"/>
      <c r="K41" s="14">
        <f>IF($H41="","",TODAY()-$H41)</f>
        <v/>
      </c>
      <c r="L41" s="19" t="inlineStr"/>
      <c r="M41" s="17" t="inlineStr"/>
      <c r="N41" s="19" t="inlineStr"/>
      <c r="O41" s="17" t="inlineStr">
        <is>
          <t>Annemarie Rook / Kees van der Molen</t>
        </is>
      </c>
      <c r="P41" s="17" t="inlineStr">
        <is>
          <t>annemarie.rook@sweco.nl</t>
        </is>
      </c>
      <c r="Q41" s="17" t="inlineStr">
        <is>
          <t>netherlands/2026_08_04_sweco_contract_writer_groningen</t>
        </is>
      </c>
      <c r="R41" s="18" t="inlineStr">
        <is>
          <t>High</t>
        </is>
      </c>
      <c r="S41" s="17" t="inlineStr">
        <is>
          <t>Strong match — explicit digitalization/AI requirement is a genuine strength, plus the FIDIC contract-review internship. No Dutch requirement listed.</t>
        </is>
      </c>
    </row>
    <row r="42" ht="15" customHeight="1" s="21">
      <c r="A42" s="17" t="inlineStr">
        <is>
          <t>Sweco</t>
        </is>
      </c>
      <c r="B42" s="17" t="inlineStr">
        <is>
          <t>Junior Civil Engineering Project Manager – Urban Projects</t>
        </is>
      </c>
      <c r="C42" s="17" t="inlineStr">
        <is>
          <t>De Bilt, NL</t>
        </is>
      </c>
      <c r="D42" s="18" t="inlineStr">
        <is>
          <t>Hybrid</t>
        </is>
      </c>
      <c r="E42" s="17" t="inlineStr">
        <is>
          <t>EUR 3,442-4,000/month</t>
        </is>
      </c>
      <c r="F42" s="17" t="inlineStr">
        <is>
          <t>Company Site</t>
        </is>
      </c>
      <c r="G42" s="17" t="inlineStr">
        <is>
          <t>https://www.sweco.nl/solliciteren/?vacancy=65797</t>
        </is>
      </c>
      <c r="H42" s="19" t="n">
        <v>46238</v>
      </c>
      <c r="I42" s="18" t="inlineStr">
        <is>
          <t>Applied</t>
        </is>
      </c>
      <c r="J42" s="18" t="inlineStr"/>
      <c r="K42" s="14">
        <f>IF($H42="","",TODAY()-$H42)</f>
        <v/>
      </c>
      <c r="L42" s="19" t="inlineStr"/>
      <c r="M42" s="17" t="inlineStr"/>
      <c r="N42" s="19" t="inlineStr"/>
      <c r="O42" s="17" t="inlineStr">
        <is>
          <t>Bart Witte</t>
        </is>
      </c>
      <c r="P42" s="17" t="inlineStr">
        <is>
          <t>bart.witte@sweco.nl</t>
        </is>
      </c>
      <c r="Q42" s="17" t="inlineStr">
        <is>
          <t>netherlands/2026_08_04_sweco_pm_urban_projects_witte</t>
        </is>
      </c>
      <c r="R42" s="18" t="inlineStr">
        <is>
          <t>Medium</t>
        </is>
      </c>
      <c r="S42" s="17" t="inlineStr">
        <is>
          <t>Second application involving Bart Witte as contact (previously Junior BIM Modeller Alkmaar). Fluent Dutch required, not disclosed per updated default.</t>
        </is>
      </c>
    </row>
    <row r="43" ht="15" customHeight="1" s="21">
      <c r="A43" s="17" t="inlineStr">
        <is>
          <t>Sweco</t>
        </is>
      </c>
      <c r="B43" s="17" t="inlineStr">
        <is>
          <t>Junior Road Engineering Consultant – Living Environment</t>
        </is>
      </c>
      <c r="C43" s="17" t="inlineStr">
        <is>
          <t>Alkmaar, NL</t>
        </is>
      </c>
      <c r="D43" s="18" t="inlineStr">
        <is>
          <t>Hybrid</t>
        </is>
      </c>
      <c r="E43" s="17" t="inlineStr">
        <is>
          <t>EUR 3,442-4,000/month</t>
        </is>
      </c>
      <c r="F43" s="17" t="inlineStr">
        <is>
          <t>Company Site</t>
        </is>
      </c>
      <c r="G43" s="17" t="inlineStr">
        <is>
          <t>https://www.sweco.nl/solliciteren/?vacancy=64592</t>
        </is>
      </c>
      <c r="H43" s="19" t="n">
        <v>46238</v>
      </c>
      <c r="I43" s="18" t="inlineStr">
        <is>
          <t>Applied</t>
        </is>
      </c>
      <c r="J43" s="18" t="inlineStr"/>
      <c r="K43" s="14">
        <f>IF($H43="","",TODAY()-$H43)</f>
        <v/>
      </c>
      <c r="L43" s="19" t="inlineStr"/>
      <c r="M43" s="17" t="inlineStr"/>
      <c r="N43" s="19" t="inlineStr"/>
      <c r="O43" s="17" t="inlineStr">
        <is>
          <t>Bart Witte</t>
        </is>
      </c>
      <c r="P43" s="17" t="inlineStr">
        <is>
          <t>bart.witte@sweco.nl</t>
        </is>
      </c>
      <c r="Q43" s="17" t="inlineStr">
        <is>
          <t>netherlands/2026_08_04_sweco_road_engineering_witte</t>
        </is>
      </c>
      <c r="R43" s="18" t="inlineStr">
        <is>
          <t>Medium</t>
        </is>
      </c>
      <c r="S43" s="17" t="inlineStr">
        <is>
          <t>Third application to Bart Witte (confirmed with user before proceeding). No specific technical software gap; Dutch C1 required, not disclosed per updated default.</t>
        </is>
      </c>
    </row>
    <row r="44" ht="15" customHeight="1" s="21">
      <c r="A44" s="17" t="inlineStr">
        <is>
          <t>Sweco</t>
        </is>
      </c>
      <c r="B44" s="17" t="inlineStr">
        <is>
          <t>Junior Structural Engineer – Engineering &amp; Consultancy Construction</t>
        </is>
      </c>
      <c r="C44" s="17" t="inlineStr">
        <is>
          <t>Groningen/Zwolle, NL</t>
        </is>
      </c>
      <c r="D44" s="18" t="inlineStr">
        <is>
          <t>Hybrid</t>
        </is>
      </c>
      <c r="E44" s="17" t="inlineStr">
        <is>
          <t>EUR 3,442-4,000/month</t>
        </is>
      </c>
      <c r="F44" s="17" t="inlineStr">
        <is>
          <t>Company Site</t>
        </is>
      </c>
      <c r="G44" s="17" t="inlineStr">
        <is>
          <t>https://www.sweco.nl/solliciteren/?vacancy=63877</t>
        </is>
      </c>
      <c r="H44" s="19" t="n">
        <v>46238</v>
      </c>
      <c r="I44" s="18" t="inlineStr">
        <is>
          <t>Applied</t>
        </is>
      </c>
      <c r="J44" s="18" t="inlineStr"/>
      <c r="K44" s="14">
        <f>IF($H44="","",TODAY()-$H44)</f>
        <v/>
      </c>
      <c r="L44" s="19" t="inlineStr"/>
      <c r="M44" s="17" t="inlineStr"/>
      <c r="N44" s="19" t="inlineStr"/>
      <c r="O44" s="17" t="inlineStr">
        <is>
          <t>Sjaak Schreuder</t>
        </is>
      </c>
      <c r="P44" s="17" t="inlineStr">
        <is>
          <t>sjaak.schreuder@sweco.nl</t>
        </is>
      </c>
      <c r="Q44" s="17" t="inlineStr">
        <is>
          <t>netherlands/2026_08_04_sweco_sjaak_schreuder</t>
        </is>
      </c>
      <c r="R44" s="18" t="inlineStr">
        <is>
          <t>Low</t>
        </is>
      </c>
      <c r="S44" s="17" t="inlineStr">
        <is>
          <t>Same domain gap as the Arup Bridge Engineer role — requires structural calculations and Scia/Technosoft, neither of which the candidate has. Dutch gap not disclosed per updated default.</t>
        </is>
      </c>
    </row>
    <row r="45" ht="15" customHeight="1" s="21">
      <c r="A45" s="17" t="inlineStr">
        <is>
          <t>Sweco</t>
        </is>
      </c>
      <c r="B45" s="17" t="inlineStr">
        <is>
          <t>Junior BIM Modeler Civil Engineering – Urban Projects</t>
        </is>
      </c>
      <c r="C45" s="17" t="inlineStr">
        <is>
          <t>De Bilt, NL</t>
        </is>
      </c>
      <c r="D45" s="18" t="inlineStr">
        <is>
          <t>Hybrid</t>
        </is>
      </c>
      <c r="E45" s="17" t="inlineStr">
        <is>
          <t>EUR 3,442-4,000/month</t>
        </is>
      </c>
      <c r="F45" s="17" t="inlineStr">
        <is>
          <t>Company Site</t>
        </is>
      </c>
      <c r="G45" s="17" t="inlineStr">
        <is>
          <t>https://www.sweco.nl/solliciteren/?vacancy=62537</t>
        </is>
      </c>
      <c r="H45" s="19" t="n">
        <v>46238</v>
      </c>
      <c r="I45" s="18" t="inlineStr">
        <is>
          <t>Applied</t>
        </is>
      </c>
      <c r="J45" s="18" t="inlineStr"/>
      <c r="K45" s="14">
        <f>IF($H45="","",TODAY()-$H45)</f>
        <v/>
      </c>
      <c r="L45" s="19" t="inlineStr"/>
      <c r="M45" s="17" t="inlineStr"/>
      <c r="N45" s="19" t="inlineStr"/>
      <c r="O45" s="17" t="inlineStr">
        <is>
          <t>Robin Bree</t>
        </is>
      </c>
      <c r="P45" s="17" t="inlineStr">
        <is>
          <t>lindsay.vanheugten@sweco.nl</t>
        </is>
      </c>
      <c r="Q45" s="17" t="inlineStr">
        <is>
          <t>netherlands/2026_08_04_sweco_robin_bree</t>
        </is>
      </c>
      <c r="R45" s="18" t="inlineStr">
        <is>
          <t>High</t>
        </is>
      </c>
      <c r="S45" s="17" t="inlineStr">
        <is>
          <t>Strong direct match (Revit/Civil 3D modelling role). Dutch gap not disclosed per updated default.</t>
        </is>
      </c>
    </row>
    <row r="46" ht="15" customHeight="1" s="21">
      <c r="A46" s="17" t="inlineStr">
        <is>
          <t>Sweco</t>
        </is>
      </c>
      <c r="B46" s="17" t="inlineStr">
        <is>
          <t>(Junior) Structural Modeler – Engineering &amp; Consultancy Construction</t>
        </is>
      </c>
      <c r="C46" s="17" t="inlineStr">
        <is>
          <t>Groningen, NL</t>
        </is>
      </c>
      <c r="D46" s="18" t="inlineStr">
        <is>
          <t>Hybrid</t>
        </is>
      </c>
      <c r="E46" s="17" t="inlineStr">
        <is>
          <t>EUR 3,442-4,000/month</t>
        </is>
      </c>
      <c r="F46" s="17" t="inlineStr">
        <is>
          <t>Company Site</t>
        </is>
      </c>
      <c r="G46" s="17" t="inlineStr">
        <is>
          <t>https://www.sweco.nl/solliciteren/?vacancy=62445</t>
        </is>
      </c>
      <c r="H46" s="19" t="n">
        <v>46238</v>
      </c>
      <c r="I46" s="18" t="inlineStr">
        <is>
          <t>Applied</t>
        </is>
      </c>
      <c r="J46" s="18" t="inlineStr"/>
      <c r="K46" s="14">
        <f>IF($H46="","",TODAY()-$H46)</f>
        <v/>
      </c>
      <c r="L46" s="19" t="inlineStr"/>
      <c r="M46" s="17" t="inlineStr"/>
      <c r="N46" s="19" t="inlineStr"/>
      <c r="O46" s="17" t="inlineStr">
        <is>
          <t>Jasper Pouls</t>
        </is>
      </c>
      <c r="P46" s="17" t="inlineStr">
        <is>
          <t>jasper.pouls@sweco.nl</t>
        </is>
      </c>
      <c r="Q46" s="17" t="inlineStr">
        <is>
          <t>netherlands/2026_08_04_sweco_jasper_pouls</t>
        </is>
      </c>
      <c r="R46" s="18" t="inlineStr">
        <is>
          <t>High</t>
        </is>
      </c>
      <c r="S46" s="17" t="inlineStr">
        <is>
          <t>Good direct match (Revit-based modelling role, not pure structural calculation). Dutch gap not disclosed per updated default.</t>
        </is>
      </c>
    </row>
    <row r="47" ht="15" customHeight="1" s="21">
      <c r="A47" s="17" t="inlineStr">
        <is>
          <t>Sweco</t>
        </is>
      </c>
      <c r="B47" s="17" t="inlineStr">
        <is>
          <t>Junior Civil Designer – Integrated Infrastructure Design</t>
        </is>
      </c>
      <c r="C47" s="17" t="inlineStr">
        <is>
          <t>Amsterdam/De Bilt/Rotterdam/Alkmaar, NL</t>
        </is>
      </c>
      <c r="D47" s="18" t="inlineStr">
        <is>
          <t>Hybrid</t>
        </is>
      </c>
      <c r="E47" s="17" t="inlineStr">
        <is>
          <t>EUR 3,442-4,000/month</t>
        </is>
      </c>
      <c r="F47" s="17" t="inlineStr">
        <is>
          <t>Company Site</t>
        </is>
      </c>
      <c r="G47" s="17" t="inlineStr">
        <is>
          <t>https://www.sweco.nl/solliciteren/?vacancy=61191</t>
        </is>
      </c>
      <c r="H47" s="19" t="n">
        <v>46238</v>
      </c>
      <c r="I47" s="18" t="inlineStr">
        <is>
          <t>Applied</t>
        </is>
      </c>
      <c r="J47" s="18" t="inlineStr"/>
      <c r="K47" s="14">
        <f>IF($H47="","",TODAY()-$H47)</f>
        <v/>
      </c>
      <c r="L47" s="19" t="inlineStr"/>
      <c r="M47" s="17" t="inlineStr"/>
      <c r="N47" s="19" t="inlineStr"/>
      <c r="O47" s="17" t="inlineStr">
        <is>
          <t>Peter Koelman</t>
        </is>
      </c>
      <c r="P47" s="17" t="inlineStr">
        <is>
          <t>peter.koelman@sweco.nl</t>
        </is>
      </c>
      <c r="Q47" s="17" t="inlineStr">
        <is>
          <t>netherlands/2026_08_04_sweco_peter_koelman</t>
        </is>
      </c>
      <c r="R47" s="18" t="inlineStr">
        <is>
          <t>High</t>
        </is>
      </c>
      <c r="S47" s="17" t="inlineStr">
        <is>
          <t>Strong match — no Dutch requirement listed, explicit AI/digitalization emphasis is a genuine strength.</t>
        </is>
      </c>
    </row>
    <row r="48" ht="15" customHeight="1" s="21">
      <c r="A48" s="17" t="inlineStr">
        <is>
          <t>Sweco</t>
        </is>
      </c>
      <c r="B48" s="17" t="inlineStr">
        <is>
          <t>(Junior) Civil Engineering Project Engineer – Infrastructure</t>
        </is>
      </c>
      <c r="C48" s="17" t="inlineStr">
        <is>
          <t>Zwolle, NL</t>
        </is>
      </c>
      <c r="D48" s="18" t="inlineStr">
        <is>
          <t>Hybrid</t>
        </is>
      </c>
      <c r="E48" s="17" t="inlineStr">
        <is>
          <t>EUR 3,442-4,000/month</t>
        </is>
      </c>
      <c r="F48" s="17" t="inlineStr">
        <is>
          <t>Company Site</t>
        </is>
      </c>
      <c r="G48" s="17" t="inlineStr">
        <is>
          <t>https://www.sweco.nl/solliciteren/?vacancy=55138</t>
        </is>
      </c>
      <c r="H48" s="19" t="n">
        <v>46238</v>
      </c>
      <c r="I48" s="18" t="inlineStr">
        <is>
          <t>Applied</t>
        </is>
      </c>
      <c r="J48" s="18" t="inlineStr"/>
      <c r="K48" s="14">
        <f>IF($H48="","",TODAY()-$H48)</f>
        <v/>
      </c>
      <c r="L48" s="19" t="inlineStr"/>
      <c r="M48" s="17" t="inlineStr"/>
      <c r="N48" s="19" t="inlineStr"/>
      <c r="O48" s="17" t="inlineStr">
        <is>
          <t>Jeroen van de Uitvlugt</t>
        </is>
      </c>
      <c r="P48" s="17" t="inlineStr">
        <is>
          <t>jeroen.vandeuitvlugt@sweco.nl</t>
        </is>
      </c>
      <c r="Q48" s="17" t="inlineStr">
        <is>
          <t>netherlands/2026_08_04_sweco_jeroen_uitvlugt</t>
        </is>
      </c>
      <c r="R48" s="18" t="inlineStr">
        <is>
          <t>High</t>
        </is>
      </c>
      <c r="S48" s="17" t="inlineStr">
        <is>
          <t>Strong match — no Dutch requirement listed; AutoCAD, cost estimation and FIDIC contract-review experience all genuine strengths.</t>
        </is>
      </c>
    </row>
    <row r="49" ht="15" customHeight="1" s="21">
      <c r="A49" s="17" t="inlineStr">
        <is>
          <t>Sweco</t>
        </is>
      </c>
      <c r="B49" s="17" t="inlineStr">
        <is>
          <t>Junior Road Management Advisor</t>
        </is>
      </c>
      <c r="C49" s="17" t="inlineStr">
        <is>
          <t>Multiple NL offices (Middelburg/Groningen/Arnhem/Leeuwarden/De Bilt/Rotterdam/Alkmaar/Eindhoven/Amsterdam)</t>
        </is>
      </c>
      <c r="D49" s="18" t="inlineStr">
        <is>
          <t>Hybrid</t>
        </is>
      </c>
      <c r="E49" s="17" t="inlineStr"/>
      <c r="F49" s="17" t="inlineStr">
        <is>
          <t>Company Site</t>
        </is>
      </c>
      <c r="G49" s="17" t="inlineStr">
        <is>
          <t>https://www.sweco.nl/solliciteren/?vacancy=52972</t>
        </is>
      </c>
      <c r="H49" s="19" t="n">
        <v>46238</v>
      </c>
      <c r="I49" s="18" t="inlineStr">
        <is>
          <t>Applied</t>
        </is>
      </c>
      <c r="J49" s="18" t="inlineStr"/>
      <c r="K49" s="14">
        <f>IF($H49="","",TODAY()-$H49)</f>
        <v/>
      </c>
      <c r="L49" s="19" t="inlineStr"/>
      <c r="M49" s="17" t="inlineStr"/>
      <c r="N49" s="19" t="inlineStr"/>
      <c r="O49" s="17" t="inlineStr">
        <is>
          <t>Rob Krom</t>
        </is>
      </c>
      <c r="P49" s="17" t="inlineStr">
        <is>
          <t>rob.krom@sweco.nl</t>
        </is>
      </c>
      <c r="Q49" s="17" t="inlineStr">
        <is>
          <t>netherlands/2026_08_04_sweco_rob_krom</t>
        </is>
      </c>
      <c r="R49" s="18" t="inlineStr">
        <is>
          <t>High</t>
        </is>
      </c>
      <c r="S49" s="17" t="inlineStr">
        <is>
          <t>Strong match — no Dutch requirement listed; GIS (ArcGIS) and explicit AI/digitalization asks are both genuine strengths.</t>
        </is>
      </c>
    </row>
    <row r="50" ht="15" customHeight="1" s="21">
      <c r="A50" s="17" t="inlineStr">
        <is>
          <t>Sweco</t>
        </is>
      </c>
      <c r="B50" s="17" t="inlineStr">
        <is>
          <t>(Junior) Hydraulic Engineering Design Manager – Structural Hydraulic Engineering</t>
        </is>
      </c>
      <c r="C50" s="17" t="inlineStr">
        <is>
          <t>De Bilt/Rotterdam/Amsterdam, NL</t>
        </is>
      </c>
      <c r="D50" s="18" t="inlineStr">
        <is>
          <t>Hybrid</t>
        </is>
      </c>
      <c r="E50" s="17" t="inlineStr">
        <is>
          <t>EUR 4,000-5,500/month</t>
        </is>
      </c>
      <c r="F50" s="17" t="inlineStr">
        <is>
          <t>Company Site</t>
        </is>
      </c>
      <c r="G50" s="17" t="inlineStr">
        <is>
          <t>https://www.sweco.nl/solliciteren/?vacancy=50518</t>
        </is>
      </c>
      <c r="H50" s="19" t="n">
        <v>46238</v>
      </c>
      <c r="I50" s="18" t="inlineStr">
        <is>
          <t>Applied</t>
        </is>
      </c>
      <c r="J50" s="18" t="inlineStr"/>
      <c r="K50" s="14">
        <f>IF($H50="","",TODAY()-$H50)</f>
        <v/>
      </c>
      <c r="L50" s="19" t="inlineStr"/>
      <c r="M50" s="17" t="inlineStr"/>
      <c r="N50" s="19" t="inlineStr"/>
      <c r="O50" s="17" t="inlineStr">
        <is>
          <t>Jan Hein Poodt</t>
        </is>
      </c>
      <c r="P50" s="17" t="inlineStr">
        <is>
          <t>jan-hein.poodt@sweco.nl</t>
        </is>
      </c>
      <c r="Q50" s="17" t="inlineStr">
        <is>
          <t>netherlands/2026_08_04_sweco_jan_hein_poodt</t>
        </is>
      </c>
      <c r="R50" s="18" t="inlineStr">
        <is>
          <t>Low</t>
        </is>
      </c>
      <c r="S50" s="17" t="inlineStr">
        <is>
          <t>Long-shot per user request — 5 years experience required despite "(Junior)" title, mid-level salary band. Good domain fit (hydrology/water resources coursework) but real seniority gap.</t>
        </is>
      </c>
    </row>
    <row r="51" ht="15" customHeight="1" s="21">
      <c r="A51" s="17" t="inlineStr">
        <is>
          <t>Sweco</t>
        </is>
      </c>
      <c r="B51" s="17" t="inlineStr">
        <is>
          <t>Junior Advisor Underground Infrastructure &amp; Water</t>
        </is>
      </c>
      <c r="C51" s="17" t="inlineStr">
        <is>
          <t>De Bilt, NL</t>
        </is>
      </c>
      <c r="D51" s="18" t="inlineStr">
        <is>
          <t>Hybrid</t>
        </is>
      </c>
      <c r="E51" s="17" t="inlineStr">
        <is>
          <t>EUR 3,442-3,766/month</t>
        </is>
      </c>
      <c r="F51" s="17" t="inlineStr">
        <is>
          <t>Company Site</t>
        </is>
      </c>
      <c r="G51" s="17" t="inlineStr">
        <is>
          <t>https://www.sweco.nl/solliciteren/?vacancy=47996</t>
        </is>
      </c>
      <c r="H51" s="19" t="n">
        <v>46238</v>
      </c>
      <c r="I51" s="18" t="inlineStr">
        <is>
          <t>Applied</t>
        </is>
      </c>
      <c r="J51" s="18" t="inlineStr"/>
      <c r="K51" s="14">
        <f>IF($H51="","",TODAY()-$H51)</f>
        <v/>
      </c>
      <c r="L51" s="19" t="inlineStr"/>
      <c r="M51" s="17" t="inlineStr"/>
      <c r="N51" s="19" t="inlineStr"/>
      <c r="O51" s="17" t="inlineStr">
        <is>
          <t>John Driessen</t>
        </is>
      </c>
      <c r="P51" s="17" t="inlineStr">
        <is>
          <t>john.driessen@sweco.nl</t>
        </is>
      </c>
      <c r="Q51" s="17" t="inlineStr">
        <is>
          <t>netherlands/2026_08_04_sweco_underground_infra_driessen</t>
        </is>
      </c>
      <c r="R51" s="18" t="inlineStr">
        <is>
          <t>High</t>
        </is>
      </c>
      <c r="S51" s="17" t="inlineStr">
        <is>
          <t>Second application to John Driessen (previously Transport Pipeline Engineer). Strong match — GIS/data science/BIM explicitly named, no Dutch requirement listed, graduate-friendly.</t>
        </is>
      </c>
    </row>
    <row r="52" ht="15" customHeight="1" s="21">
      <c r="A52" s="17" t="inlineStr">
        <is>
          <t>Sweco</t>
        </is>
      </c>
      <c r="B52" s="17" t="inlineStr">
        <is>
          <t>(Junior) Structural Engineer – Engineering &amp; Consultancy Construction</t>
        </is>
      </c>
      <c r="C52" s="17" t="inlineStr">
        <is>
          <t>Middelburg, NL</t>
        </is>
      </c>
      <c r="D52" s="18" t="inlineStr">
        <is>
          <t>Hybrid</t>
        </is>
      </c>
      <c r="E52" s="17" t="inlineStr">
        <is>
          <t>EUR 3,442-4,000/month</t>
        </is>
      </c>
      <c r="F52" s="17" t="inlineStr">
        <is>
          <t>Company Site</t>
        </is>
      </c>
      <c r="G52" s="17" t="inlineStr">
        <is>
          <t>https://www.sweco.nl/solliciteren/?vacancy=53226</t>
        </is>
      </c>
      <c r="H52" s="19" t="n">
        <v>46238</v>
      </c>
      <c r="I52" s="18" t="inlineStr">
        <is>
          <t>Applied</t>
        </is>
      </c>
      <c r="J52" s="18" t="inlineStr"/>
      <c r="K52" s="14">
        <f>IF($H52="","",TODAY()-$H52)</f>
        <v/>
      </c>
      <c r="L52" s="19" t="inlineStr"/>
      <c r="M52" s="17" t="inlineStr"/>
      <c r="N52" s="19" t="inlineStr"/>
      <c r="O52" s="17" t="inlineStr">
        <is>
          <t>Michel van Aert</t>
        </is>
      </c>
      <c r="P52" s="17" t="inlineStr">
        <is>
          <t>michel.vanaert@sweco.nl</t>
        </is>
      </c>
      <c r="Q52" s="17" t="inlineStr">
        <is>
          <t>netherlands/2026_08_04_sweco_michel_van_aert</t>
        </is>
      </c>
      <c r="R52" s="18" t="inlineStr">
        <is>
          <t>High</t>
        </is>
      </c>
      <c r="S52" s="17" t="inlineStr">
        <is>
          <t>Same shape as the Schreuder/Pouls structural roles (Revit-based modelling, different branch). Dutch gap not disclosed per updated default.</t>
        </is>
      </c>
    </row>
    <row r="53" ht="15" customHeight="1" s="21">
      <c r="A53" s="17" t="inlineStr">
        <is>
          <t>Sweco</t>
        </is>
      </c>
      <c r="B53" s="17" t="inlineStr">
        <is>
          <t>Junior Project Consultant – Area Development</t>
        </is>
      </c>
      <c r="C53" s="17" t="inlineStr">
        <is>
          <t>Arnhem, NL</t>
        </is>
      </c>
      <c r="D53" s="18" t="inlineStr">
        <is>
          <t>Hybrid</t>
        </is>
      </c>
      <c r="E53" s="17" t="inlineStr">
        <is>
          <t>EUR 3,442-4,000/month</t>
        </is>
      </c>
      <c r="F53" s="17" t="inlineStr">
        <is>
          <t>Company Site</t>
        </is>
      </c>
      <c r="G53" s="17" t="inlineStr">
        <is>
          <t>https://www.sweco.nl/solliciteren/?vacancy=39914</t>
        </is>
      </c>
      <c r="H53" s="19" t="n">
        <v>46238</v>
      </c>
      <c r="I53" s="18" t="inlineStr">
        <is>
          <t>Applied</t>
        </is>
      </c>
      <c r="J53" s="18" t="inlineStr"/>
      <c r="K53" s="14">
        <f>IF($H53="","",TODAY()-$H53)</f>
        <v/>
      </c>
      <c r="L53" s="19" t="inlineStr"/>
      <c r="M53" s="17" t="inlineStr"/>
      <c r="N53" s="19" t="inlineStr"/>
      <c r="O53" s="17" t="inlineStr">
        <is>
          <t>Marcel Janssen</t>
        </is>
      </c>
      <c r="P53" s="17" t="inlineStr">
        <is>
          <t>marcel.janssen@sweco.nl</t>
        </is>
      </c>
      <c r="Q53" s="17" t="inlineStr">
        <is>
          <t>netherlands/2026_08_04_sweco_marcel_janssen</t>
        </is>
      </c>
      <c r="R53" s="18" t="inlineStr">
        <is>
          <t>High</t>
        </is>
      </c>
      <c r="S53" s="17" t="inlineStr">
        <is>
          <t>Good match — digitalization/AI explicitly a plus, civil engineering/land-water framing fits. Dutch gap not disclosed per updated default.</t>
        </is>
      </c>
    </row>
    <row r="54" ht="15" customHeight="1" s="21">
      <c r="A54" s="17" t="inlineStr">
        <is>
          <t>Sweco</t>
        </is>
      </c>
      <c r="B54" s="17" t="inlineStr">
        <is>
          <t>(Junior) Civil Engineer – Engineering and Urban Projects</t>
        </is>
      </c>
      <c r="C54" s="17" t="inlineStr">
        <is>
          <t>Multiple NL offices (Alkmaar/Amsterdam/Middelburg/Arnhem/Groningen/Zwolle/Leeuwarden/De Bilt)</t>
        </is>
      </c>
      <c r="D54" s="18" t="inlineStr">
        <is>
          <t>Hybrid</t>
        </is>
      </c>
      <c r="E54" s="17" t="inlineStr">
        <is>
          <t>EUR 3,442-4,000/month</t>
        </is>
      </c>
      <c r="F54" s="17" t="inlineStr">
        <is>
          <t>Company Site</t>
        </is>
      </c>
      <c r="G54" s="17" t="inlineStr">
        <is>
          <t>https://www.sweco.nl/solliciteren/?vacancy=39949</t>
        </is>
      </c>
      <c r="H54" s="19" t="n">
        <v>46238</v>
      </c>
      <c r="I54" s="18" t="inlineStr">
        <is>
          <t>Applied</t>
        </is>
      </c>
      <c r="J54" s="18" t="inlineStr"/>
      <c r="K54" s="14">
        <f>IF($H54="","",TODAY()-$H54)</f>
        <v/>
      </c>
      <c r="L54" s="19" t="inlineStr"/>
      <c r="M54" s="17" t="inlineStr"/>
      <c r="N54" s="19" t="inlineStr"/>
      <c r="O54" s="17" t="inlineStr">
        <is>
          <t>Robin Bree</t>
        </is>
      </c>
      <c r="P54" s="17" t="inlineStr">
        <is>
          <t>lindsay.vanheugten@sweco.nl</t>
        </is>
      </c>
      <c r="Q54" s="17" t="inlineStr">
        <is>
          <t>netherlands/2026_08_04_sweco_civil_engineer_bree</t>
        </is>
      </c>
      <c r="R54" s="18" t="inlineStr">
        <is>
          <t>High</t>
        </is>
      </c>
      <c r="S54" s="17" t="inlineStr">
        <is>
          <t>Second application to Robin Bree (previously BIM Modeler Civil Engineering). Strong overall match: AutoCAD, digitalization/AI, FIDIC contract review all genuine strengths.</t>
        </is>
      </c>
    </row>
    <row r="55" ht="15" customHeight="1" s="21">
      <c r="A55" s="17" t="inlineStr">
        <is>
          <t>Sweco Energi</t>
        </is>
      </c>
      <c r="B55" s="17" t="inlineStr">
        <is>
          <t>Junior Project Manager – District Heating Projects</t>
        </is>
      </c>
      <c r="C55" s="17" t="inlineStr">
        <is>
          <t>Greater Copenhagen / North Zealand, DK</t>
        </is>
      </c>
      <c r="D55" s="18" t="inlineStr"/>
      <c r="E55" s="17" t="inlineStr"/>
      <c r="F55" s="17" t="inlineStr">
        <is>
          <t>Company Site</t>
        </is>
      </c>
      <c r="G55" s="17" t="inlineStr">
        <is>
          <t>https://candidate.hr-manager.net/ApplicationInit.aspx?cid=87&amp;ProjectId=183677&amp;DepartmentId=2127&amp;SkipAdvertisement=true</t>
        </is>
      </c>
      <c r="H55" s="19" t="n">
        <v>46238</v>
      </c>
      <c r="I55" s="18" t="inlineStr">
        <is>
          <t>Applied</t>
        </is>
      </c>
      <c r="J55" s="18" t="inlineStr"/>
      <c r="K55" s="14">
        <f>IF($H55="","",TODAY()-$H55)</f>
        <v/>
      </c>
      <c r="L55" s="19" t="inlineStr"/>
      <c r="M55" s="17" t="inlineStr"/>
      <c r="N55" s="19" t="inlineStr"/>
      <c r="O55" s="17" t="inlineStr"/>
      <c r="P55" s="17" t="inlineStr"/>
      <c r="Q55" s="17" t="inlineStr">
        <is>
          <t>denmark/2026_08_04_sweco_district_heating_pm</t>
        </is>
      </c>
      <c r="R55" s="18" t="inlineStr">
        <is>
          <t>Medium</t>
        </is>
      </c>
      <c r="S55" s="17" t="inlineStr">
        <is>
          <t>3 years experience required, not disclosed per updated default. No explicit language requirement listed. Leans on real energy-management coursework.</t>
        </is>
      </c>
    </row>
    <row r="56" ht="15" customHeight="1" s="21">
      <c r="A56" s="17" t="inlineStr">
        <is>
          <t>Sweco</t>
        </is>
      </c>
      <c r="B56" s="17" t="inlineStr">
        <is>
          <t>Junior Engineer (Req. 269)</t>
        </is>
      </c>
      <c r="C56" s="17" t="inlineStr">
        <is>
          <t>Multiple BE/LU offices (Berchem/Gent/Brussels/Hasselt/Leuven and others)</t>
        </is>
      </c>
      <c r="D56" s="18" t="inlineStr">
        <is>
          <t>Hybrid</t>
        </is>
      </c>
      <c r="E56" s="17" t="inlineStr"/>
      <c r="F56" s="17" t="inlineStr">
        <is>
          <t>Company Site</t>
        </is>
      </c>
      <c r="G56" s="17" t="inlineStr"/>
      <c r="H56" s="19" t="n">
        <v>46238</v>
      </c>
      <c r="I56" s="18" t="inlineStr">
        <is>
          <t>Applied</t>
        </is>
      </c>
      <c r="J56" s="18" t="inlineStr"/>
      <c r="K56" s="14">
        <f>IF($H56="","",TODAY()-$H56)</f>
        <v/>
      </c>
      <c r="L56" s="19" t="inlineStr"/>
      <c r="M56" s="17" t="inlineStr"/>
      <c r="N56" s="19" t="inlineStr"/>
      <c r="O56" s="17" t="inlineStr"/>
      <c r="P56" s="17" t="inlineStr"/>
      <c r="Q56" s="17" t="inlineStr">
        <is>
          <t>belgium/2026_08_04_sweco_junior_engineer</t>
        </is>
      </c>
      <c r="R56" s="18" t="inlineStr">
        <is>
          <t>High</t>
        </is>
      </c>
      <c r="S56" s="17" t="inlineStr">
        <is>
          <t>No language/software requirement listed, explicitly open to near-graduates. Excellent accessibility, strong AI/digitalization profile fits well.</t>
        </is>
      </c>
    </row>
    <row r="57" ht="15" customHeight="1" s="21">
      <c r="A57" s="17" t="inlineStr">
        <is>
          <t>Sweco</t>
        </is>
      </c>
      <c r="B57" s="17" t="inlineStr">
        <is>
          <t>BIM Coordinator (Req. 1359)</t>
        </is>
      </c>
      <c r="C57" s="17" t="inlineStr">
        <is>
          <t>Antwerp, BE (also Ghent/Berchem/Brussels and others)</t>
        </is>
      </c>
      <c r="D57" s="18" t="inlineStr">
        <is>
          <t>Hybrid</t>
        </is>
      </c>
      <c r="E57" s="17" t="inlineStr"/>
      <c r="F57" s="17" t="inlineStr">
        <is>
          <t>Company Site</t>
        </is>
      </c>
      <c r="G57" s="17" t="inlineStr"/>
      <c r="H57" s="19" t="n">
        <v>46238</v>
      </c>
      <c r="I57" s="18" t="inlineStr">
        <is>
          <t>Applied</t>
        </is>
      </c>
      <c r="J57" s="18" t="inlineStr"/>
      <c r="K57" s="14">
        <f>IF($H57="","",TODAY()-$H57)</f>
        <v/>
      </c>
      <c r="L57" s="19" t="inlineStr"/>
      <c r="M57" s="17" t="inlineStr"/>
      <c r="N57" s="19" t="inlineStr"/>
      <c r="O57" s="17" t="inlineStr"/>
      <c r="P57" s="17" t="inlineStr"/>
      <c r="Q57" s="17" t="inlineStr">
        <is>
          <t>belgium/2026_08_04_sweco_bim_coordinator_antwerp</t>
        </is>
      </c>
      <c r="R57" s="18" t="inlineStr">
        <is>
          <t>High</t>
        </is>
      </c>
      <c r="S57" s="17" t="inlineStr">
        <is>
          <t>Strong direct BIM match. 3 years experience gap not disclosed per updated default; no language requirement listed.</t>
        </is>
      </c>
    </row>
    <row r="58" ht="15" customHeight="1" s="21">
      <c r="A58" s="17" t="inlineStr">
        <is>
          <t>Sweco</t>
        </is>
      </c>
      <c r="B58" s="17" t="inlineStr">
        <is>
          <t>Information Coordinator (expression of interest)</t>
        </is>
      </c>
      <c r="C58" s="17" t="inlineStr">
        <is>
          <t>Sundsvall/Ostersund, SE</t>
        </is>
      </c>
      <c r="D58" s="18" t="inlineStr">
        <is>
          <t>Hybrid</t>
        </is>
      </c>
      <c r="E58" s="17" t="inlineStr"/>
      <c r="F58" s="17" t="inlineStr">
        <is>
          <t>Company Site</t>
        </is>
      </c>
      <c r="G58" s="17" t="inlineStr">
        <is>
          <t>https://www.sweco.se/karriar/ansok-har/?rmpage=apply&amp;rmjob=25028</t>
        </is>
      </c>
      <c r="H58" s="19" t="n">
        <v>46238</v>
      </c>
      <c r="I58" s="18" t="inlineStr">
        <is>
          <t>Applied</t>
        </is>
      </c>
      <c r="J58" s="18" t="inlineStr"/>
      <c r="K58" s="14">
        <f>IF($H58="","",TODAY()-$H58)</f>
        <v/>
      </c>
      <c r="L58" s="19" t="inlineStr"/>
      <c r="M58" s="17" t="inlineStr"/>
      <c r="N58" s="19" t="inlineStr"/>
      <c r="O58" s="17" t="inlineStr">
        <is>
          <t>Malin Kullstrom</t>
        </is>
      </c>
      <c r="P58" s="17" t="inlineStr">
        <is>
          <t>malin.kullstrom@sweco.se</t>
        </is>
      </c>
      <c r="Q58" s="17" t="inlineStr">
        <is>
          <t>sweden/2026_08_04_sweco_info_coordinator_sundsvall</t>
        </is>
      </c>
      <c r="R58" s="18" t="inlineStr">
        <is>
          <t>High</t>
        </is>
      </c>
      <c r="S58" s="17" t="inlineStr">
        <is>
          <t>Excellent domain fit — role is essentially the candidate’s exact specialty (Information Manager, ISO 19650). Swedish gap not disclosed per updated default; confirmed with user given the strong fit. 3 years experience also required.</t>
        </is>
      </c>
    </row>
    <row r="59" ht="15" customHeight="1" s="21">
      <c r="A59" s="17" t="inlineStr">
        <is>
          <t>WSP</t>
        </is>
      </c>
      <c r="B59" s="17" t="inlineStr">
        <is>
          <t>Junior Water Safety Advisor – Water and Environment</t>
        </is>
      </c>
      <c r="C59" s="17" t="inlineStr">
        <is>
          <t>Breda/Nieuwegein/Rotterdam, NL</t>
        </is>
      </c>
      <c r="D59" s="18" t="inlineStr">
        <is>
          <t>Hybrid</t>
        </is>
      </c>
      <c r="E59" s="17" t="inlineStr"/>
      <c r="F59" s="17" t="inlineStr">
        <is>
          <t>Company Site</t>
        </is>
      </c>
      <c r="G59" s="17" t="inlineStr"/>
      <c r="H59" s="19" t="n">
        <v>46238</v>
      </c>
      <c r="I59" s="18" t="inlineStr">
        <is>
          <t>Applied</t>
        </is>
      </c>
      <c r="J59" s="18" t="inlineStr"/>
      <c r="K59" s="14">
        <f>IF($H59="","",TODAY()-$H59)</f>
        <v/>
      </c>
      <c r="L59" s="19" t="inlineStr"/>
      <c r="M59" s="17" t="inlineStr"/>
      <c r="N59" s="19" t="inlineStr"/>
      <c r="O59" s="17" t="inlineStr"/>
      <c r="P59" s="17" t="inlineStr"/>
      <c r="Q59" s="17" t="inlineStr">
        <is>
          <t>netherlands/2026_08_04_wsp_water_safety</t>
        </is>
      </c>
      <c r="R59" s="18" t="inlineStr">
        <is>
          <t>Medium</t>
        </is>
      </c>
      <c r="S59" s="17" t="inlineStr">
        <is>
          <t>First WSP application. Decent water-adjacent fit; geotechnical stability/piping analysis is a different specialty than hydrology coursework, framed honestly as genuine interest rather than claimed expertise.</t>
        </is>
      </c>
    </row>
    <row r="60" ht="15" customHeight="1" s="21">
      <c r="A60" s="17" t="inlineStr">
        <is>
          <t>Ferrovial Construction</t>
        </is>
      </c>
      <c r="B60" s="17" t="inlineStr">
        <is>
          <t>BIM Graduate – Quality and Design Department (JR18626)</t>
        </is>
      </c>
      <c r="C60" s="17" t="inlineStr">
        <is>
          <t>London, UK</t>
        </is>
      </c>
      <c r="D60" s="18" t="inlineStr">
        <is>
          <t>On-site</t>
        </is>
      </c>
      <c r="E60" s="17" t="inlineStr"/>
      <c r="F60" s="17" t="inlineStr">
        <is>
          <t>Company Site</t>
        </is>
      </c>
      <c r="G60" s="17" t="inlineStr">
        <is>
          <t>https://ferrovial.wd3.myworkdayjobs.com/Ferrovial_Career_Site/job/London/BIM-Graduate_JR18626/apply?source=LinkedIn</t>
        </is>
      </c>
      <c r="H60" s="19" t="n">
        <v>46246</v>
      </c>
      <c r="I60" s="18" t="inlineStr">
        <is>
          <t>Applied</t>
        </is>
      </c>
      <c r="J60" s="18" t="inlineStr"/>
      <c r="K60" s="14">
        <f>IF($H60="","",TODAY()-$H60)</f>
        <v/>
      </c>
      <c r="L60" s="19" t="inlineStr"/>
      <c r="M60" s="17" t="inlineStr"/>
      <c r="N60" s="19" t="inlineStr"/>
      <c r="O60" s="17" t="inlineStr"/>
      <c r="P60" s="17" t="inlineStr"/>
      <c r="Q60" s="17" t="inlineStr">
        <is>
          <t>uk/2026_08_12_ferrovial_bim_graduate</t>
        </is>
      </c>
      <c r="R60" s="18" t="inlineStr">
        <is>
          <t>High</t>
        </is>
      </c>
      <c r="S60" s="17" t="inlineStr">
        <is>
          <t>Near-exact fit (posting names BIM as a qualifying master’s degree, 2-year graduate program, no experience required). UK right-to-work confirmed by user as securable by start date; stated directly on the CV per the posting’s essential requirement.</t>
        </is>
      </c>
    </row>
    <row r="61" ht="15" customHeight="1" s="21">
      <c r="A61" s="17" t="inlineStr">
        <is>
          <t>Ferrovial Construction</t>
        </is>
      </c>
      <c r="B61" s="17" t="inlineStr">
        <is>
          <t>Graduate Digital Construction &amp; Data Management 2026 (JR18262)</t>
        </is>
      </c>
      <c r="C61" s="17" t="inlineStr">
        <is>
          <t>London, UK</t>
        </is>
      </c>
      <c r="D61" s="18" t="inlineStr">
        <is>
          <t>On-site</t>
        </is>
      </c>
      <c r="E61" s="17" t="inlineStr"/>
      <c r="F61" s="17" t="inlineStr">
        <is>
          <t>Company Site</t>
        </is>
      </c>
      <c r="G61" s="17" t="inlineStr">
        <is>
          <t>https://ferrovial.wd3.myworkdayjobs.com/en-US/Ferrovial_Career_Site/job/London/Graduate-Digital-Construction---Data-Management-2026_JR18262/apply?source=LinkedIn</t>
        </is>
      </c>
      <c r="H61" s="19" t="n">
        <v>46246</v>
      </c>
      <c r="I61" s="18" t="inlineStr">
        <is>
          <t>Applied</t>
        </is>
      </c>
      <c r="J61" s="18" t="inlineStr"/>
      <c r="K61" s="14">
        <f>IF($H61="","",TODAY()-$H61)</f>
        <v/>
      </c>
      <c r="L61" s="19" t="inlineStr"/>
      <c r="M61" s="17" t="inlineStr"/>
      <c r="N61" s="19" t="inlineStr"/>
      <c r="O61" s="17" t="inlineStr"/>
      <c r="P61" s="17" t="inlineStr"/>
      <c r="Q61" s="17" t="inlineStr">
        <is>
          <t>uk/2026_08_12_ferrovial_digital_construction_data</t>
        </is>
      </c>
      <c r="R61" s="18" t="inlineStr">
        <is>
          <t>High</t>
        </is>
      </c>
      <c r="S61" s="17" t="inlineStr">
        <is>
          <t>Second Ferrovial application, same team/program as BIM Graduate (JR18626). UK right-to-work confirmed manageable by user, stated directly on CV.</t>
        </is>
      </c>
    </row>
    <row r="62" ht="15" customHeight="1" s="21">
      <c r="A62" s="17" t="inlineStr">
        <is>
          <t>Graitec</t>
        </is>
      </c>
      <c r="B62" s="17" t="inlineStr">
        <is>
          <t>AEC Prototyping Engineer</t>
        </is>
      </c>
      <c r="C62" s="17" t="inlineStr">
        <is>
          <t>Paris, FR</t>
        </is>
      </c>
      <c r="D62" s="18" t="inlineStr"/>
      <c r="E62" s="17" t="inlineStr"/>
      <c r="F62" s="17" t="inlineStr">
        <is>
          <t>Company Site</t>
        </is>
      </c>
      <c r="G62" s="17" t="inlineStr"/>
      <c r="H62" s="19" t="n">
        <v>46246</v>
      </c>
      <c r="I62" s="18" t="inlineStr">
        <is>
          <t>Applied</t>
        </is>
      </c>
      <c r="J62" s="18" t="inlineStr"/>
      <c r="K62" s="14">
        <f>IF($H62="","",TODAY()-$H62)</f>
        <v/>
      </c>
      <c r="L62" s="19" t="inlineStr"/>
      <c r="M62" s="17" t="inlineStr"/>
      <c r="N62" s="19" t="inlineStr"/>
      <c r="O62" s="17" t="inlineStr"/>
      <c r="P62" s="17" t="inlineStr"/>
      <c r="Q62" s="17" t="inlineStr">
        <is>
          <t>france/2026_08_12_graitec_aec_prototyping</t>
        </is>
      </c>
      <c r="R62" s="18" t="inlineStr">
        <is>
          <t>High</t>
        </is>
      </c>
      <c r="S62" s="17" t="inlineStr">
        <is>
          <t>Exceptional fit — combines both core specialties (AEC/BIM and AI/agentic systems). BIMGraphExplorer is an almost literal match to the role’s rapid-prototyping/validation cycle. No French requirement listed.</t>
        </is>
      </c>
    </row>
    <row r="63" ht="15" customHeight="1" s="21">
      <c r="A63" s="17" t="inlineStr">
        <is>
          <t>Mott MacDonald</t>
        </is>
      </c>
      <c r="B63" s="17" t="inlineStr">
        <is>
          <t>BIM Engineer (Structural BIM), Energy unit (Job Ref 15395)</t>
        </is>
      </c>
      <c r="C63" s="17" t="inlineStr">
        <is>
          <t>Sofia, BG</t>
        </is>
      </c>
      <c r="D63" s="18" t="inlineStr">
        <is>
          <t>Hybrid</t>
        </is>
      </c>
      <c r="E63" s="17" t="inlineStr"/>
      <c r="F63" s="17" t="inlineStr">
        <is>
          <t>Company Site</t>
        </is>
      </c>
      <c r="G63" s="17" t="inlineStr">
        <is>
          <t>https://career2.successfactors.eu/career?company=MMPROD&amp;lang=en_150&amp;login_ns=register&amp;career_ns=job_application&amp;career_job_req_id=15395&amp;jobPipeline=CareerSite&amp;codes=EXT</t>
        </is>
      </c>
      <c r="H63" s="19" t="n">
        <v>46250</v>
      </c>
      <c r="I63" s="18" t="inlineStr">
        <is>
          <t>Applied</t>
        </is>
      </c>
      <c r="J63" s="18" t="inlineStr"/>
      <c r="K63" s="14">
        <f>IF($H63="","",TODAY()-$H63)</f>
        <v/>
      </c>
      <c r="L63" s="19" t="inlineStr"/>
      <c r="M63" s="17" t="inlineStr"/>
      <c r="N63" s="19" t="inlineStr"/>
      <c r="O63" s="17" t="inlineStr">
        <is>
          <t>Maria Cervantes</t>
        </is>
      </c>
      <c r="P63" s="17" t="inlineStr"/>
      <c r="Q63" s="17" t="inlineStr">
        <is>
          <t>bulgaria/2026_08_16_mott_macdonald_bim_sofia</t>
        </is>
      </c>
      <c r="R63" s="18" t="inlineStr">
        <is>
          <t>Medium</t>
        </is>
      </c>
      <c r="S63" s="17" t="inlineStr">
        <is>
          <t>Structural-engineering degree gap not disclosed per updated default; actual day-to-day tasks (ACC, ISO 19650, clash detection) map very well to real strengths.</t>
        </is>
      </c>
    </row>
    <row r="64" ht="15" customHeight="1" s="21">
      <c r="A64" s="17" t="inlineStr">
        <is>
          <t>AECOM</t>
        </is>
      </c>
      <c r="B64" s="17" t="inlineStr">
        <is>
          <t>BIM &amp; Digital Specialist / Digital Project Delivery Engineer (Req J10154523)</t>
        </is>
      </c>
      <c r="C64" s="17" t="inlineStr">
        <is>
          <t>Madrid, ES</t>
        </is>
      </c>
      <c r="D64" s="18" t="inlineStr">
        <is>
          <t>Hybrid</t>
        </is>
      </c>
      <c r="E64" s="17" t="inlineStr"/>
      <c r="F64" s="17" t="inlineStr">
        <is>
          <t>Company Site</t>
        </is>
      </c>
      <c r="G64" s="17" t="inlineStr"/>
      <c r="H64" s="19" t="n">
        <v>46250</v>
      </c>
      <c r="I64" s="18" t="inlineStr">
        <is>
          <t>Applied</t>
        </is>
      </c>
      <c r="J64" s="18" t="inlineStr"/>
      <c r="K64" s="14">
        <f>IF($H64="","",TODAY()-$H64)</f>
        <v/>
      </c>
      <c r="L64" s="19" t="inlineStr"/>
      <c r="M64" s="17" t="inlineStr"/>
      <c r="N64" s="19" t="inlineStr"/>
      <c r="O64" s="17" t="inlineStr"/>
      <c r="P64" s="17" t="inlineStr"/>
      <c r="Q64" s="17" t="inlineStr">
        <is>
          <t>spain/2026_08_16_aecom_bim_digital_madrid</t>
        </is>
      </c>
      <c r="R64" s="18" t="inlineStr">
        <is>
          <t>Medium</t>
        </is>
      </c>
      <c r="S64" s="17" t="inlineStr">
        <is>
          <t>Good BIM+data/automation fit (similar shape to Graitec). 2-5 years experience and Power Platform/Azure gaps not disclosed per updated default; no Spanish requirement stated, only English.</t>
        </is>
      </c>
    </row>
    <row r="65" ht="15" customHeight="1" s="21">
      <c r="A65" s="17" t="inlineStr">
        <is>
          <t>King and Moffatt Building Services</t>
        </is>
      </c>
      <c r="B65" s="17" t="inlineStr">
        <is>
          <t>Engineering Graduate Programme</t>
        </is>
      </c>
      <c r="C65" s="17" t="inlineStr">
        <is>
          <t>Carrick-on-Shannon, Co. Leitrim, IE</t>
        </is>
      </c>
      <c r="D65" s="18" t="inlineStr">
        <is>
          <t>On-site</t>
        </is>
      </c>
      <c r="E65" s="17" t="inlineStr"/>
      <c r="F65" s="17" t="inlineStr">
        <is>
          <t>Company Site</t>
        </is>
      </c>
      <c r="G65" s="17" t="inlineStr"/>
      <c r="H65" s="19" t="n">
        <v>46250</v>
      </c>
      <c r="I65" s="18" t="inlineStr">
        <is>
          <t>Applied</t>
        </is>
      </c>
      <c r="J65" s="18" t="inlineStr"/>
      <c r="K65" s="14">
        <f>IF($H65="","",TODAY()-$H65)</f>
        <v/>
      </c>
      <c r="L65" s="19" t="inlineStr"/>
      <c r="M65" s="17" t="inlineStr"/>
      <c r="N65" s="19" t="inlineStr"/>
      <c r="O65" s="17" t="inlineStr"/>
      <c r="P65" s="17" t="inlineStr"/>
      <c r="Q65" s="17" t="inlineStr">
        <is>
          <t>ireland/2026_08_16_king_moffatt_engineering_graduate</t>
        </is>
      </c>
      <c r="R65" s="18" t="inlineStr">
        <is>
          <t>Low</t>
        </is>
      </c>
      <c r="S65" s="17" t="inlineStr">
        <is>
          <t>Ireland work-authorization status unresolved — user asked to omit any mention either way, to be sorted out separately. Also a degree-field mismatch (M&amp;E/Building Services vs Civil), bridged via the programme’s Design/BIM rotation.</t>
        </is>
      </c>
    </row>
    <row r="66" ht="15" customHeight="1" s="21">
      <c r="A66" s="17" t="inlineStr">
        <is>
          <t>DBFL Consulting Engineers</t>
        </is>
      </c>
      <c r="B66" s="17" t="inlineStr">
        <is>
          <t>Graduate Development Programme</t>
        </is>
      </c>
      <c r="C66" s="17" t="inlineStr">
        <is>
          <t>Dublin, IE</t>
        </is>
      </c>
      <c r="D66" s="18" t="inlineStr"/>
      <c r="E66" s="17" t="inlineStr"/>
      <c r="F66" s="17" t="inlineStr">
        <is>
          <t>Company Site</t>
        </is>
      </c>
      <c r="G66" s="17" t="inlineStr"/>
      <c r="H66" s="19" t="n">
        <v>46250</v>
      </c>
      <c r="I66" s="18" t="inlineStr">
        <is>
          <t>Applied</t>
        </is>
      </c>
      <c r="J66" s="18" t="inlineStr"/>
      <c r="K66" s="14">
        <f>IF($H66="","",TODAY()-$H66)</f>
        <v/>
      </c>
      <c r="L66" s="19" t="inlineStr"/>
      <c r="M66" s="17" t="inlineStr"/>
      <c r="N66" s="19" t="inlineStr"/>
      <c r="O66" s="17" t="inlineStr"/>
      <c r="P66" s="17" t="inlineStr"/>
      <c r="Q66" s="17" t="inlineStr">
        <is>
          <t>ireland/2026_08_16_dbfl_graduate_programme</t>
        </is>
      </c>
      <c r="R66" s="18" t="inlineStr">
        <is>
          <t>Medium</t>
        </is>
      </c>
      <c r="S66" s="17" t="inlineStr">
        <is>
          <t>Strong degree-field match (pure Civil Engineering). Same unresolved Ireland work-authorization question as King and Moffatt; omitted from CV per user instruction.</t>
        </is>
      </c>
    </row>
    <row r="67" ht="15" customHeight="1" s="21">
      <c r="A67" s="17" t="inlineStr">
        <is>
          <t>TwinMaster</t>
        </is>
      </c>
      <c r="B67" s="17" t="inlineStr">
        <is>
          <t>Product Manager (Arch-e platform)</t>
        </is>
      </c>
      <c r="C67" s="17" t="inlineStr">
        <is>
          <t>Remote</t>
        </is>
      </c>
      <c r="D67" s="18" t="inlineStr">
        <is>
          <t>Remote</t>
        </is>
      </c>
      <c r="E67" s="17" t="inlineStr"/>
      <c r="F67" s="17" t="inlineStr">
        <is>
          <t>Networking</t>
        </is>
      </c>
      <c r="G67" s="17" t="inlineStr"/>
      <c r="H67" s="19" t="n">
        <v>46250</v>
      </c>
      <c r="I67" s="18" t="inlineStr">
        <is>
          <t>Applied</t>
        </is>
      </c>
      <c r="J67" s="18" t="inlineStr"/>
      <c r="K67" s="14">
        <f>IF($H67="","",TODAY()-$H67)</f>
        <v/>
      </c>
      <c r="L67" s="19" t="inlineStr"/>
      <c r="M67" s="17" t="inlineStr"/>
      <c r="N67" s="19" t="inlineStr"/>
      <c r="O67" s="17" t="inlineStr">
        <is>
          <t>Michael</t>
        </is>
      </c>
      <c r="P67" s="17" t="inlineStr">
        <is>
          <t>michael@thetwinmaster.com</t>
        </is>
      </c>
      <c r="Q67" s="17" t="inlineStr">
        <is>
          <t>remote/2026_08_16_twinmaster_product_manager</t>
        </is>
      </c>
      <c r="R67" s="18" t="inlineStr">
        <is>
          <t>Low</t>
        </is>
      </c>
      <c r="S67" s="17" t="inlineStr">
        <is>
          <t>Categorical mismatch (Licensed Architect, 7 years, Architect of Record required). Sent as an openly self-aware networking note rather than a standard tailored pitch, per explicit user direction.</t>
        </is>
      </c>
    </row>
    <row r="68" ht="15" customHeight="1" s="21">
      <c r="A68" s="17" t="inlineStr">
        <is>
          <t>BAM Building</t>
        </is>
      </c>
      <c r="B68" s="17" t="inlineStr">
        <is>
          <t>BIM Coordinator (Digital Project Solutions)</t>
        </is>
      </c>
      <c r="C68" s="17" t="inlineStr">
        <is>
          <t>Waterford, IE</t>
        </is>
      </c>
      <c r="D68" s="18" t="inlineStr"/>
      <c r="E68" s="17" t="inlineStr"/>
      <c r="F68" s="17" t="inlineStr">
        <is>
          <t>Company Site</t>
        </is>
      </c>
      <c r="G68" s="17" t="inlineStr"/>
      <c r="H68" s="19" t="n">
        <v>46250</v>
      </c>
      <c r="I68" s="18" t="inlineStr">
        <is>
          <t>Applied</t>
        </is>
      </c>
      <c r="J68" s="18" t="inlineStr"/>
      <c r="K68" s="14">
        <f>IF($H68="","",TODAY()-$H68)</f>
        <v/>
      </c>
      <c r="L68" s="19" t="inlineStr"/>
      <c r="M68" s="17" t="inlineStr"/>
      <c r="N68" s="19" t="inlineStr"/>
      <c r="O68" s="17" t="inlineStr"/>
      <c r="P68" s="17" t="inlineStr"/>
      <c r="Q68" s="17" t="inlineStr">
        <is>
          <t>ireland/2026_08_16_bam_bim_coordinator_waterford</t>
        </is>
      </c>
      <c r="R68" s="18" t="inlineStr">
        <is>
          <t>High</t>
        </is>
      </c>
      <c r="S68" s="17" t="inlineStr">
        <is>
          <t>Excellent direct match — ISO 19650/CDE/MIDP-TIDP is the candidate’s core specialty. Same unresolved Ireland work-authorization question as King and Moffatt/DBFL; omitted from CV per user instruction.</t>
        </is>
      </c>
    </row>
    <row r="69" ht="15" customHeight="1" s="21">
      <c r="A69" s="17" t="inlineStr">
        <is>
          <t>Hurks (Ballast Nedam)</t>
        </is>
      </c>
      <c r="B69" s="17" t="inlineStr">
        <is>
          <t>BIM Coordinator</t>
        </is>
      </c>
      <c r="C69" s="17" t="inlineStr">
        <is>
          <t>Eindhoven, NL</t>
        </is>
      </c>
      <c r="D69" s="18" t="inlineStr">
        <is>
          <t>On-site</t>
        </is>
      </c>
      <c r="E69" s="17" t="inlineStr">
        <is>
          <t>EUR 3,989-5,699/month</t>
        </is>
      </c>
      <c r="F69" s="17" t="inlineStr">
        <is>
          <t>LinkedIn</t>
        </is>
      </c>
      <c r="G69" s="17" t="inlineStr"/>
      <c r="H69" s="19" t="n">
        <v>46250</v>
      </c>
      <c r="I69" s="18" t="inlineStr">
        <is>
          <t>Applied</t>
        </is>
      </c>
      <c r="J69" s="18" t="inlineStr"/>
      <c r="K69" s="14">
        <f>IF($H69="","",TODAY()-$H69)</f>
        <v/>
      </c>
      <c r="L69" s="19" t="inlineStr"/>
      <c r="M69" s="17" t="inlineStr"/>
      <c r="N69" s="19" t="inlineStr"/>
      <c r="O69" s="17" t="inlineStr">
        <is>
          <t>Anneke den Haan</t>
        </is>
      </c>
      <c r="P69" s="17" t="inlineStr"/>
      <c r="Q69" s="17" t="inlineStr">
        <is>
          <t>netherlands/2026_08_16_hurks_ballast_nedam_bim</t>
        </is>
      </c>
      <c r="R69" s="18" t="inlineStr">
        <is>
          <t>Medium</t>
        </is>
      </c>
      <c r="S69" s="17" t="inlineStr">
        <is>
          <t>LinkedIn flagged this as a "low" match (missing years of experience, specific tools: Solibri/BIMcollab Nexus/Dalux, Dutch fluency). Not disclosed per updated default; leans on genuine BIM/ISO19650/AI overlap.</t>
        </is>
      </c>
    </row>
    <row r="70" ht="15" customHeight="1" s="21">
      <c r="A70" s="17" t="inlineStr">
        <is>
          <t>REM d.o.o.</t>
        </is>
      </c>
      <c r="B70" s="17" t="inlineStr">
        <is>
          <t>Designer-Developer (product design/development)</t>
        </is>
      </c>
      <c r="C70" s="17" t="inlineStr">
        <is>
          <t>Trebnje, SI</t>
        </is>
      </c>
      <c r="D70" s="18" t="inlineStr"/>
      <c r="E70" s="17" t="inlineStr"/>
      <c r="F70" s="17" t="inlineStr">
        <is>
          <t>Job Board</t>
        </is>
      </c>
      <c r="G70" s="17" t="inlineStr"/>
      <c r="H70" s="19" t="n">
        <v>46251</v>
      </c>
      <c r="I70" s="18" t="inlineStr">
        <is>
          <t>Applied</t>
        </is>
      </c>
      <c r="J70" s="18" t="inlineStr"/>
      <c r="K70" s="14">
        <f>IF($H70="","",TODAY()-$H70)</f>
        <v/>
      </c>
      <c r="L70" s="19" t="inlineStr"/>
      <c r="M70" s="17" t="inlineStr"/>
      <c r="N70" s="19" t="inlineStr"/>
      <c r="O70" s="17" t="inlineStr"/>
      <c r="P70" s="17" t="inlineStr"/>
      <c r="Q70" s="17" t="inlineStr">
        <is>
          <t>slovenia/2026_08_17_rem_doo_trebnje</t>
        </is>
      </c>
      <c r="R70" s="18" t="inlineStr">
        <is>
          <t>High</t>
        </is>
      </c>
      <c r="S70" s="17" t="inlineStr">
        <is>
          <t>Good fit for modular building systems manufacturer. Revit explicitly named; English satisfies language requirement (no Slovene needed). 2 years experience gap not disclosed per updated default.</t>
        </is>
      </c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2026-08-17T11:08:43Z</dcterms:modified>
  <cp:lastModifiedBy>HARIS WAHEED BHATTI</cp:lastModifiedBy>
  <cp:revision>0</cp:revision>
</cp:coreProperties>
</file>