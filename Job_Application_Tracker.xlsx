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>
        <is>
          <t>Rejected</t>
        </is>
      </c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7" t="inlineStr">
        <is>
          <t>Arup</t>
        </is>
      </c>
      <c r="B24" s="17" t="inlineStr">
        <is>
          <t>Junior Bridge Engineer (Bridge &amp; Civil Structures), Job AMS000074</t>
        </is>
      </c>
      <c r="C24" s="17" t="inlineStr">
        <is>
          <t>Amsterdam, NL</t>
        </is>
      </c>
      <c r="D24" s="18" t="inlineStr">
        <is>
          <t>Hybrid</t>
        </is>
      </c>
      <c r="E24" s="17" t="inlineStr"/>
      <c r="F24" s="17" t="inlineStr">
        <is>
          <t>Company Site</t>
        </is>
      </c>
      <c r="G24" s="17" t="inlineStr"/>
      <c r="H24" s="19" t="n">
        <v>46238</v>
      </c>
      <c r="I24" s="18" t="inlineStr">
        <is>
          <t>Applied</t>
        </is>
      </c>
      <c r="J24" s="18" t="inlineStr"/>
      <c r="K24" s="14">
        <f>IF($H24="","",TODAY()-$H24)</f>
        <v/>
      </c>
      <c r="L24" s="19" t="inlineStr"/>
      <c r="M24" s="17" t="inlineStr"/>
      <c r="N24" s="19" t="inlineStr"/>
      <c r="O24" s="17" t="inlineStr"/>
      <c r="P24" s="17" t="inlineStr"/>
      <c r="Q24" s="17" t="inlineStr">
        <is>
          <t>netherlands/2026_08_04_arup_junior_bridge_engineer</t>
        </is>
      </c>
      <c r="R24" s="18" t="inlineStr">
        <is>
          <t>Medium</t>
        </is>
      </c>
      <c r="S24" s="17" t="inlineStr">
        <is>
          <t>Junior-friendly seniority fit, but real gaps in FEM/structural calculations (candidate specializes in BIM coordination, not structural analysis) and Dutch B1 (candidate has none). Per user instruction, CV/letter do NOT disclose these gaps — lean only on genuine parametric-design/automation strengths.</t>
        </is>
      </c>
    </row>
    <row r="25" ht="15" customHeight="1" s="21">
      <c r="A25" s="17" t="inlineStr">
        <is>
          <t>Arup</t>
        </is>
      </c>
      <c r="B25" s="17" t="inlineStr">
        <is>
          <t>Junior Project Manager – Science, Industry &amp; Technology</t>
        </is>
      </c>
      <c r="C25" s="17" t="inlineStr">
        <is>
          <t>Frankfurt, DE</t>
        </is>
      </c>
      <c r="D25" s="18" t="inlineStr">
        <is>
          <t>Hybrid</t>
        </is>
      </c>
      <c r="E25" s="17" t="inlineStr"/>
      <c r="F25" s="17" t="inlineStr">
        <is>
          <t>Company Site</t>
        </is>
      </c>
      <c r="G25" s="17" t="inlineStr"/>
      <c r="H25" s="19" t="n">
        <v>46238</v>
      </c>
      <c r="I25" s="18" t="inlineStr">
        <is>
          <t>Applied</t>
        </is>
      </c>
      <c r="J25" s="18" t="inlineStr"/>
      <c r="K25" s="14">
        <f>IF($H25="","",TODAY()-$H25)</f>
        <v/>
      </c>
      <c r="L25" s="19" t="inlineStr"/>
      <c r="M25" s="17" t="inlineStr"/>
      <c r="N25" s="19" t="inlineStr"/>
      <c r="O25" s="17" t="inlineStr"/>
      <c r="P25" s="17" t="inlineStr"/>
      <c r="Q25" s="17" t="inlineStr">
        <is>
          <t>germany/2026_08_04_arup_frankfurt_junior_pm</t>
        </is>
      </c>
      <c r="R25" s="18" t="inlineStr">
        <is>
          <t>Medium</t>
        </is>
      </c>
      <c r="S25" s="17" t="inlineStr">
        <is>
          <t>Junior-friendly (internships/student activities explicitly welcomed). Real gap: "very good German" required, candidate has none. Per updated default, CV/letter do not disclose this gap.</t>
        </is>
      </c>
    </row>
    <row r="26" ht="15" customHeight="1" s="21">
      <c r="A26" s="17" t="inlineStr">
        <is>
          <t>Arup</t>
        </is>
      </c>
      <c r="B26" s="17" t="inlineStr">
        <is>
          <t>Assistant Computational Designer – Digital Team</t>
        </is>
      </c>
      <c r="C26" s="17" t="inlineStr">
        <is>
          <t>Milan, IT</t>
        </is>
      </c>
      <c r="D26" s="18" t="inlineStr"/>
      <c r="E26" s="17" t="inlineStr"/>
      <c r="F26" s="17" t="inlineStr">
        <is>
          <t>Company Site</t>
        </is>
      </c>
      <c r="G26" s="17" t="inlineStr"/>
      <c r="H26" s="19" t="n">
        <v>46238</v>
      </c>
      <c r="I26" s="18" t="inlineStr">
        <is>
          <t>Applied</t>
        </is>
      </c>
      <c r="J26" s="18" t="inlineStr"/>
      <c r="K26" s="14">
        <f>IF($H26="","",TODAY()-$H26)</f>
        <v/>
      </c>
      <c r="L26" s="19" t="inlineStr"/>
      <c r="M26" s="17" t="inlineStr"/>
      <c r="N26" s="19" t="inlineStr"/>
      <c r="O26" s="17" t="inlineStr"/>
      <c r="P26" s="17" t="inlineStr"/>
      <c r="Q26" s="17" t="inlineStr">
        <is>
          <t>italy/2026_08_04_arup_milan_computational_designer</t>
        </is>
      </c>
      <c r="R26" s="18" t="inlineStr">
        <is>
          <t>High</t>
        </is>
      </c>
      <c r="S26" s="17" t="inlineStr">
        <is>
          <t>Excellent fit — explicitly welcomes recent graduates, no language gap beyond English, strong overlap on Python/Dynamo/Revit/Git/AI-agent work and GIS (ArcGIS). No major mismatch to flag.</t>
        </is>
      </c>
    </row>
    <row r="27" ht="15" customHeight="1" s="21">
      <c r="A27" s="17" t="inlineStr">
        <is>
          <t>Arup</t>
        </is>
      </c>
      <c r="B27" s="17" t="inlineStr">
        <is>
          <t>Open Application – Design Manager, Private &amp; Government Property, Job AMS000091</t>
        </is>
      </c>
      <c r="C27" s="17" t="inlineStr">
        <is>
          <t>Amsterdam, NL</t>
        </is>
      </c>
      <c r="D27" s="18" t="inlineStr"/>
      <c r="E27" s="17" t="inlineStr"/>
      <c r="F27" s="17" t="inlineStr">
        <is>
          <t>Company Site</t>
        </is>
      </c>
      <c r="G27" s="17" t="inlineStr">
        <is>
          <t>https://jobs.arup.com/jobs/33871/other-jobs-matching/location-only</t>
        </is>
      </c>
      <c r="H27" s="19" t="n">
        <v>46238</v>
      </c>
      <c r="I27" s="18" t="inlineStr">
        <is>
          <t>Applied</t>
        </is>
      </c>
      <c r="J27" s="18" t="inlineStr"/>
      <c r="K27" s="14">
        <f>IF($H27="","",TODAY()-$H27)</f>
        <v/>
      </c>
      <c r="L27" s="19" t="inlineStr"/>
      <c r="M27" s="17" t="inlineStr"/>
      <c r="N27" s="19" t="inlineStr"/>
      <c r="O27" s="17" t="inlineStr"/>
      <c r="P27" s="17" t="inlineStr"/>
      <c r="Q27" s="17" t="inlineStr">
        <is>
          <t>netherlands/2026_08_04_arup_amsterdam_design_manager</t>
        </is>
      </c>
      <c r="R27" s="18" t="inlineStr">
        <is>
          <t>Medium</t>
        </is>
      </c>
      <c r="S27" s="17" t="inlineStr">
        <is>
          <t>Open solicitation (not a live vacancy), junior-friendly. Real gap: fluent Dutch required, candidate has none. Per updated default, CV/letter do not disclose this gap.</t>
        </is>
      </c>
    </row>
    <row r="28" ht="15" customHeight="1" s="21">
      <c r="A28" s="17" t="inlineStr">
        <is>
          <t>Arup</t>
        </is>
      </c>
      <c r="B28" s="17" t="inlineStr">
        <is>
          <t>Open Application – Project Management, Science &amp; Industry, Job AMS000094</t>
        </is>
      </c>
      <c r="C28" s="17" t="inlineStr">
        <is>
          <t>Amsterdam, NL</t>
        </is>
      </c>
      <c r="D28" s="18" t="inlineStr"/>
      <c r="E28" s="17" t="inlineStr"/>
      <c r="F28" s="17" t="inlineStr">
        <is>
          <t>Company Site</t>
        </is>
      </c>
      <c r="G28" s="17" t="inlineStr">
        <is>
          <t>https://jobs.arup.com/jobs/33686/other-jobs-matching/location-only</t>
        </is>
      </c>
      <c r="H28" s="19" t="n">
        <v>46238</v>
      </c>
      <c r="I28" s="18" t="inlineStr">
        <is>
          <t>Applied</t>
        </is>
      </c>
      <c r="J28" s="18" t="inlineStr"/>
      <c r="K28" s="14">
        <f>IF($H28="","",TODAY()-$H28)</f>
        <v/>
      </c>
      <c r="L28" s="19" t="inlineStr"/>
      <c r="M28" s="17" t="inlineStr"/>
      <c r="N28" s="19" t="inlineStr"/>
      <c r="O28" s="17" t="inlineStr"/>
      <c r="P28" s="17" t="inlineStr"/>
      <c r="Q28" s="17" t="inlineStr">
        <is>
          <t>netherlands/2026_08_04_arup_amsterdam_science_industry_pm</t>
        </is>
      </c>
      <c r="R28" s="18" t="inlineStr">
        <is>
          <t>Medium</t>
        </is>
      </c>
      <c r="S28" s="17" t="inlineStr">
        <is>
          <t>Open solicitation (not a live vacancy), junior-friendly, same shape as the Design Manager open application. Real gap: fluent Dutch required, candidate has none — not disclosed per updated default.</t>
        </is>
      </c>
    </row>
    <row r="29" ht="15" customHeight="1" s="21">
      <c r="A29" s="17" t="inlineStr">
        <is>
          <t>Arup</t>
        </is>
      </c>
      <c r="B29" s="17" t="inlineStr">
        <is>
          <t>Open Application – Project Management, Technology / Data Centers, Job AMS000092</t>
        </is>
      </c>
      <c r="C29" s="17" t="inlineStr">
        <is>
          <t>Amsterdam, NL</t>
        </is>
      </c>
      <c r="D29" s="18" t="inlineStr"/>
      <c r="E29" s="17" t="inlineStr"/>
      <c r="F29" s="17" t="inlineStr">
        <is>
          <t>Company Site</t>
        </is>
      </c>
      <c r="G29" s="17" t="inlineStr">
        <is>
          <t>https://jobs.arup.com/jobs/33870/other-jobs-matching/location-only</t>
        </is>
      </c>
      <c r="H29" s="19" t="n">
        <v>46238</v>
      </c>
      <c r="I29" s="18" t="inlineStr">
        <is>
          <t>Applied</t>
        </is>
      </c>
      <c r="J29" s="18" t="inlineStr"/>
      <c r="K29" s="14">
        <f>IF($H29="","",TODAY()-$H29)</f>
        <v/>
      </c>
      <c r="L29" s="19" t="inlineStr"/>
      <c r="M29" s="17" t="inlineStr"/>
      <c r="N29" s="19" t="inlineStr"/>
      <c r="O29" s="17" t="inlineStr"/>
      <c r="P29" s="17" t="inlineStr"/>
      <c r="Q29" s="17" t="inlineStr">
        <is>
          <t>netherlands/2026_08_04_arup_amsterdam_tech_datacenters_pm</t>
        </is>
      </c>
      <c r="R29" s="18" t="inlineStr">
        <is>
          <t>Medium</t>
        </is>
      </c>
      <c r="S29" s="17" t="inlineStr">
        <is>
          <t>Third Arup Amsterdam open application (open solicitation, not a live vacancy), junior-friendly. Real gap: fluent Dutch required, candidate has none — not disclosed per updated default.</t>
        </is>
      </c>
    </row>
    <row r="30" ht="15" customHeight="1" s="21">
      <c r="A30" s="17" t="inlineStr">
        <is>
          <t>Sweco</t>
        </is>
      </c>
      <c r="B30" s="17" t="inlineStr">
        <is>
          <t>Junior Building Physics Consultant – Fire, Environment &amp; Building Physics</t>
        </is>
      </c>
      <c r="C30" s="17" t="inlineStr">
        <is>
          <t>Netherlands</t>
        </is>
      </c>
      <c r="D30" s="18" t="inlineStr">
        <is>
          <t>Hybrid</t>
        </is>
      </c>
      <c r="E30" s="17" t="inlineStr"/>
      <c r="F30" s="17" t="inlineStr">
        <is>
          <t>Company Site</t>
        </is>
      </c>
      <c r="G30" s="17" t="inlineStr">
        <is>
          <t>https://www.sweco.nl/solliciteren/?vacancy=66955</t>
        </is>
      </c>
      <c r="H30" s="19" t="n">
        <v>46238</v>
      </c>
      <c r="I30" s="18" t="inlineStr">
        <is>
          <t>Applied</t>
        </is>
      </c>
      <c r="J30" s="18" t="inlineStr"/>
      <c r="K30" s="14">
        <f>IF($H30="","",TODAY()-$H30)</f>
        <v/>
      </c>
      <c r="L30" s="19" t="inlineStr"/>
      <c r="M30" s="17" t="inlineStr"/>
      <c r="N30" s="19" t="inlineStr"/>
      <c r="O30" s="17" t="inlineStr">
        <is>
          <t>Bas Peeters</t>
        </is>
      </c>
      <c r="P30" s="17" t="inlineStr">
        <is>
          <t>bas.peeters@sweco.nl</t>
        </is>
      </c>
      <c r="Q30" s="17" t="inlineStr">
        <is>
          <t>netherlands/2026_08_04_sweco_bas_peeters</t>
        </is>
      </c>
      <c r="R30" s="18" t="inlineStr">
        <is>
          <t>Low</t>
        </is>
      </c>
      <c r="S30" s="17" t="inlineStr">
        <is>
          <t>Real domain mismatch — no daylight/energy/acoustics/fire-safety background at all (different specialization than BIM). Fluent Dutch also required. Applied anyway per explicit user instruction; leans on energy-management coursework + adaptability, gaps not disclosed.</t>
        </is>
      </c>
    </row>
    <row r="31" ht="15" customHeight="1" s="21">
      <c r="A31" s="17" t="inlineStr">
        <is>
          <t>Sweco</t>
        </is>
      </c>
      <c r="B31" s="17" t="inlineStr">
        <is>
          <t>Junior Fire Safety Advisor – Fire, Environment &amp; Building Physics</t>
        </is>
      </c>
      <c r="C31" s="17" t="inlineStr">
        <is>
          <t>Venlo/Eindhoven, NL</t>
        </is>
      </c>
      <c r="D31" s="18" t="inlineStr">
        <is>
          <t>Hybrid</t>
        </is>
      </c>
      <c r="E31" s="17" t="inlineStr">
        <is>
          <t>EUR 3,442-4,100/month</t>
        </is>
      </c>
      <c r="F31" s="17" t="inlineStr">
        <is>
          <t>Company Site</t>
        </is>
      </c>
      <c r="G31" s="17" t="inlineStr">
        <is>
          <t>https://www.sweco.nl/solliciteren/?vacancy=66956</t>
        </is>
      </c>
      <c r="H31" s="19" t="n">
        <v>46238</v>
      </c>
      <c r="I31" s="18" t="inlineStr">
        <is>
          <t>Applied</t>
        </is>
      </c>
      <c r="J31" s="18" t="inlineStr"/>
      <c r="K31" s="14">
        <f>IF($H31="","",TODAY()-$H31)</f>
        <v/>
      </c>
      <c r="L31" s="19" t="inlineStr"/>
      <c r="M31" s="17" t="inlineStr"/>
      <c r="N31" s="19" t="inlineStr"/>
      <c r="O31" s="17" t="inlineStr">
        <is>
          <t>Bas Peeters</t>
        </is>
      </c>
      <c r="P31" s="17" t="inlineStr">
        <is>
          <t>bas.peeters@sweco.nl</t>
        </is>
      </c>
      <c r="Q31" s="17" t="inlineStr">
        <is>
          <t>netherlands/2026_08_04_sweco_fire_safety_peeters</t>
        </is>
      </c>
      <c r="R31" s="18" t="inlineStr">
        <is>
          <t>Low</t>
        </is>
      </c>
      <c r="S31" s="17" t="inlineStr">
        <is>
          <t>Same team/manager as the Building Physics Consultant posting; real domain gap (no fire-safety background) plus fluent Dutch required. Applied anyway per established preference for this team; gaps not disclosed.</t>
        </is>
      </c>
    </row>
    <row r="32" ht="15" customHeight="1" s="21">
      <c r="A32" s="17" t="inlineStr">
        <is>
          <t>Sweco</t>
        </is>
      </c>
      <c r="B32" s="17" t="inlineStr">
        <is>
          <t>Junior Advisor Cultural Engineering – Environmental and Cultural Engineering Research</t>
        </is>
      </c>
      <c r="C32" s="17" t="inlineStr">
        <is>
          <t>Eindhoven, NL</t>
        </is>
      </c>
      <c r="D32" s="18" t="inlineStr">
        <is>
          <t>Hybrid</t>
        </is>
      </c>
      <c r="E32" s="17" t="inlineStr">
        <is>
          <t>EUR 3,442-4,000/month</t>
        </is>
      </c>
      <c r="F32" s="17" t="inlineStr">
        <is>
          <t>Company Site</t>
        </is>
      </c>
      <c r="G32" s="17" t="inlineStr">
        <is>
          <t>https://www.sweco.nl/solliciteren/?vacancy=66857</t>
        </is>
      </c>
      <c r="H32" s="19" t="n">
        <v>46238</v>
      </c>
      <c r="I32" s="18" t="inlineStr">
        <is>
          <t>Applied</t>
        </is>
      </c>
      <c r="J32" s="18" t="inlineStr"/>
      <c r="K32" s="14">
        <f>IF($H32="","",TODAY()-$H32)</f>
        <v/>
      </c>
      <c r="L32" s="19" t="inlineStr"/>
      <c r="M32" s="17" t="inlineStr"/>
      <c r="N32" s="19" t="inlineStr"/>
      <c r="O32" s="17" t="inlineStr">
        <is>
          <t>Jules Rutten</t>
        </is>
      </c>
      <c r="P32" s="17" t="inlineStr">
        <is>
          <t>jules.rutten@sweco.nl</t>
        </is>
      </c>
      <c r="Q32" s="17" t="inlineStr">
        <is>
          <t>netherlands/2026_08_04_sweco_jules_rutten</t>
        </is>
      </c>
      <c r="R32" s="18" t="inlineStr">
        <is>
          <t>Medium</t>
        </is>
      </c>
      <c r="S32" s="17" t="inlineStr">
        <is>
          <t>Genuine domain fit via real hydrology/water-resources coursework (AutoCAD, HEC-HMS, HEC-RAS) — better fit than the Building Physics/Fire Safety Sweco roles. Dutch C1 required, not disclosed per updated default.</t>
        </is>
      </c>
    </row>
    <row r="33" ht="15" customHeight="1" s="21">
      <c r="A33" s="17" t="inlineStr">
        <is>
          <t>Sweco</t>
        </is>
      </c>
      <c r="B33" s="17" t="inlineStr">
        <is>
          <t>(Junior) Architectural BIM Engineer – Logistics and Business Accommodation</t>
        </is>
      </c>
      <c r="C33" s="17" t="inlineStr">
        <is>
          <t>De Bilt/Eindhoven/The Hague, NL</t>
        </is>
      </c>
      <c r="D33" s="18" t="inlineStr">
        <is>
          <t>Hybrid</t>
        </is>
      </c>
      <c r="E33" s="17" t="inlineStr">
        <is>
          <t>EUR 3,750-4,250/month</t>
        </is>
      </c>
      <c r="F33" s="17" t="inlineStr">
        <is>
          <t>Company Site</t>
        </is>
      </c>
      <c r="G33" s="17" t="inlineStr">
        <is>
          <t>https://www.sweco.nl/solliciteren/?vacancy=66747</t>
        </is>
      </c>
      <c r="H33" s="19" t="n">
        <v>46238</v>
      </c>
      <c r="I33" s="18" t="inlineStr">
        <is>
          <t>Applied</t>
        </is>
      </c>
      <c r="J33" s="18" t="inlineStr"/>
      <c r="K33" s="14">
        <f>IF($H33="","",TODAY()-$H33)</f>
        <v/>
      </c>
      <c r="L33" s="19" t="inlineStr"/>
      <c r="M33" s="17" t="inlineStr"/>
      <c r="N33" s="19" t="inlineStr"/>
      <c r="O33" s="17" t="inlineStr">
        <is>
          <t>Eric Thoma</t>
        </is>
      </c>
      <c r="P33" s="17" t="inlineStr"/>
      <c r="Q33" s="17" t="inlineStr">
        <is>
          <t>netherlands/2026_08_04_sweco_eric_thoma</t>
        </is>
      </c>
      <c r="R33" s="18" t="inlineStr">
        <is>
          <t>High</t>
        </is>
      </c>
      <c r="S33" s="17" t="inlineStr">
        <is>
          <t>Strong direct BIM match — Revit + multidisciplinary coordination maps closely onto the Guimarães project. Real gaps: 2 years experience, fluent Dutch — not disclosed per updated default.</t>
        </is>
      </c>
    </row>
    <row r="34" ht="15" customHeight="1" s="21">
      <c r="A34" s="17" t="inlineStr">
        <is>
          <t>Sweco</t>
        </is>
      </c>
      <c r="B34" s="17" t="inlineStr">
        <is>
          <t>(Junior) Urban Planning Advisor – Urban Projects South (Spatial Development)</t>
        </is>
      </c>
      <c r="C34" s="17" t="inlineStr">
        <is>
          <t>Kapelle/Middelburg, NL</t>
        </is>
      </c>
      <c r="D34" s="18" t="inlineStr">
        <is>
          <t>Hybrid</t>
        </is>
      </c>
      <c r="E34" s="17" t="inlineStr">
        <is>
          <t>EUR 3,600-4,300/month</t>
        </is>
      </c>
      <c r="F34" s="17" t="inlineStr">
        <is>
          <t>Company Site</t>
        </is>
      </c>
      <c r="G34" s="17" t="inlineStr">
        <is>
          <t>https://www.sweco.nl/solliciteren/?vacancy=66743</t>
        </is>
      </c>
      <c r="H34" s="19" t="n">
        <v>46238</v>
      </c>
      <c r="I34" s="18" t="inlineStr">
        <is>
          <t>Applied</t>
        </is>
      </c>
      <c r="J34" s="18" t="inlineStr"/>
      <c r="K34" s="14">
        <f>IF($H34="","",TODAY()-$H34)</f>
        <v/>
      </c>
      <c r="L34" s="19" t="inlineStr"/>
      <c r="M34" s="17" t="inlineStr"/>
      <c r="N34" s="19" t="inlineStr"/>
      <c r="O34" s="17" t="inlineStr">
        <is>
          <t>Marik Waterman</t>
        </is>
      </c>
      <c r="P34" s="17" t="inlineStr">
        <is>
          <t>marik.waterman@sweco.nl</t>
        </is>
      </c>
      <c r="Q34" s="17" t="inlineStr">
        <is>
          <t>netherlands/2026_08_04_sweco_marik_waterman</t>
        </is>
      </c>
      <c r="R34" s="18" t="inlineStr">
        <is>
          <t>Medium</t>
        </is>
      </c>
      <c r="S34" s="17" t="inlineStr">
        <is>
          <t>Surfaced real urban planning coursework (previously untracked). Explicit ask for digitalization/AI experience is a genuine strength. No Dutch requirement listed. 2 years experience gap not disclosed per updated default.</t>
        </is>
      </c>
    </row>
    <row r="35" ht="15" customHeight="1" s="21">
      <c r="A35" s="17" t="inlineStr">
        <is>
          <t>Sweco</t>
        </is>
      </c>
      <c r="B35" s="17" t="inlineStr">
        <is>
          <t>(Junior) Transport Pipeline Engineer – Water</t>
        </is>
      </c>
      <c r="C35" s="17" t="inlineStr">
        <is>
          <t>De Bilt, NL</t>
        </is>
      </c>
      <c r="D35" s="18" t="inlineStr">
        <is>
          <t>Hybrid</t>
        </is>
      </c>
      <c r="E35" s="17" t="inlineStr">
        <is>
          <t>EUR 3,600-4,300/month</t>
        </is>
      </c>
      <c r="F35" s="17" t="inlineStr">
        <is>
          <t>Company Site</t>
        </is>
      </c>
      <c r="G35" s="17" t="inlineStr">
        <is>
          <t>https://www.sweco.nl/solliciteren/?vacancy=66744</t>
        </is>
      </c>
      <c r="H35" s="19" t="n">
        <v>46238</v>
      </c>
      <c r="I35" s="18" t="inlineStr">
        <is>
          <t>Applied</t>
        </is>
      </c>
      <c r="J35" s="18" t="inlineStr"/>
      <c r="K35" s="14">
        <f>IF($H35="","",TODAY()-$H35)</f>
        <v/>
      </c>
      <c r="L35" s="19" t="inlineStr"/>
      <c r="M35" s="17" t="inlineStr"/>
      <c r="N35" s="19" t="inlineStr"/>
      <c r="O35" s="17" t="inlineStr">
        <is>
          <t>John Driessen</t>
        </is>
      </c>
      <c r="P35" s="17" t="inlineStr">
        <is>
          <t>john.driessen@sweco.nl</t>
        </is>
      </c>
      <c r="Q35" s="17" t="inlineStr">
        <is>
          <t>netherlands/2026_08_04_sweco_john_driessen</t>
        </is>
      </c>
      <c r="R35" s="18" t="inlineStr">
        <is>
          <t>Medium</t>
        </is>
      </c>
      <c r="S35" s="17" t="inlineStr">
        <is>
          <t>Genuine domain fit via real AutoCAD/ArcGIS/hydrology coursework, matching the posting’s explicit software asks. 1-3 years experience and Dutch C1 gaps not disclosed per updated default.</t>
        </is>
      </c>
    </row>
    <row r="36" ht="15" customHeight="1" s="21">
      <c r="A36" s="17" t="inlineStr">
        <is>
          <t>Sweco</t>
        </is>
      </c>
      <c r="B36" s="17" t="inlineStr">
        <is>
          <t>Junior Construction Project Manager – Logistics and Business Accommodation</t>
        </is>
      </c>
      <c r="C36" s="17" t="inlineStr">
        <is>
          <t>De Bilt/Amsterdam, NL</t>
        </is>
      </c>
      <c r="D36" s="18" t="inlineStr">
        <is>
          <t>Hybrid</t>
        </is>
      </c>
      <c r="E36" s="17" t="inlineStr">
        <is>
          <t>EUR 3,500-4,500/month</t>
        </is>
      </c>
      <c r="F36" s="17" t="inlineStr">
        <is>
          <t>Company Site</t>
        </is>
      </c>
      <c r="G36" s="17" t="inlineStr">
        <is>
          <t>https://www.sweco.nl/solliciteren/?vacancy=66706</t>
        </is>
      </c>
      <c r="H36" s="19" t="n">
        <v>46238</v>
      </c>
      <c r="I36" s="18" t="inlineStr">
        <is>
          <t>Applied</t>
        </is>
      </c>
      <c r="J36" s="18" t="inlineStr"/>
      <c r="K36" s="14">
        <f>IF($H36="","",TODAY()-$H36)</f>
        <v/>
      </c>
      <c r="L36" s="19" t="inlineStr"/>
      <c r="M36" s="17" t="inlineStr"/>
      <c r="N36" s="19" t="inlineStr"/>
      <c r="O36" s="17" t="inlineStr"/>
      <c r="P36" s="17" t="inlineStr">
        <is>
          <t>lindsay.vanheugten@sweco.nl</t>
        </is>
      </c>
      <c r="Q36" s="17" t="inlineStr">
        <is>
          <t>netherlands/2026_08_04_sweco_pm_logistics_thoma</t>
        </is>
      </c>
      <c r="R36" s="18" t="inlineStr">
        <is>
          <t>Medium</t>
        </is>
      </c>
      <c r="S36" s="17" t="inlineStr">
        <is>
          <t>Same team as the Architectural BIM Engineer application (Eric Thoma). 1-3 years experience and Dutch fluency gaps not disclosed per updated default.</t>
        </is>
      </c>
    </row>
    <row r="37" ht="15" customHeight="1" s="21">
      <c r="A37" s="17" t="inlineStr">
        <is>
          <t>Sweco</t>
        </is>
      </c>
      <c r="B37" s="17" t="inlineStr">
        <is>
          <t>Junior Contract Management Advisor – Urban Projects</t>
        </is>
      </c>
      <c r="C37" s="17" t="inlineStr">
        <is>
          <t>Rotterdam, NL</t>
        </is>
      </c>
      <c r="D37" s="18" t="inlineStr">
        <is>
          <t>Hybrid</t>
        </is>
      </c>
      <c r="E37" s="17" t="inlineStr">
        <is>
          <t>EUR 3,442-4,100/month</t>
        </is>
      </c>
      <c r="F37" s="17" t="inlineStr">
        <is>
          <t>Company Site</t>
        </is>
      </c>
      <c r="G37" s="17" t="inlineStr">
        <is>
          <t>https://www.sweco.nl/solliciteren/?vacancy=66683</t>
        </is>
      </c>
      <c r="H37" s="19" t="n">
        <v>46238</v>
      </c>
      <c r="I37" s="18" t="inlineStr">
        <is>
          <t>Applied</t>
        </is>
      </c>
      <c r="J37" s="18" t="inlineStr"/>
      <c r="K37" s="14">
        <f>IF($H37="","",TODAY()-$H37)</f>
        <v/>
      </c>
      <c r="L37" s="19" t="inlineStr"/>
      <c r="M37" s="17" t="inlineStr"/>
      <c r="N37" s="19" t="inlineStr"/>
      <c r="O37" s="17" t="inlineStr">
        <is>
          <t>Edyta Wisniewska</t>
        </is>
      </c>
      <c r="P37" s="17" t="inlineStr">
        <is>
          <t>edyta.wisniewska@sweco.nl</t>
        </is>
      </c>
      <c r="Q37" s="17" t="inlineStr">
        <is>
          <t>netherlands/2026_08_04_sweco_edyta_wisniewska</t>
        </is>
      </c>
      <c r="R37" s="18" t="inlineStr">
        <is>
          <t>High</t>
        </is>
      </c>
      <c r="S37" s="17" t="inlineStr">
        <is>
          <t>Strong match — graduate-entry framing, no Dutch requirement listed, and the FIDIC contract-review internship maps directly onto the role.</t>
        </is>
      </c>
    </row>
    <row r="38" ht="15" customHeight="1" s="21">
      <c r="A38" s="17" t="inlineStr">
        <is>
          <t>Sweco</t>
        </is>
      </c>
      <c r="B38" s="17" t="inlineStr">
        <is>
          <t>(Junior) Project Manager – Volantis</t>
        </is>
      </c>
      <c r="C38" s="17" t="inlineStr">
        <is>
          <t>Venlo/Eindhoven, NL</t>
        </is>
      </c>
      <c r="D38" s="18" t="inlineStr">
        <is>
          <t>Hybrid</t>
        </is>
      </c>
      <c r="E38" s="17" t="inlineStr"/>
      <c r="F38" s="17" t="inlineStr">
        <is>
          <t>Company Site</t>
        </is>
      </c>
      <c r="G38" s="17" t="inlineStr">
        <is>
          <t>https://www.sweco.nl/solliciteren/?vacancy=66682</t>
        </is>
      </c>
      <c r="H38" s="19" t="n">
        <v>46238</v>
      </c>
      <c r="I38" s="18" t="inlineStr">
        <is>
          <t>Applied</t>
        </is>
      </c>
      <c r="J38" s="18" t="inlineStr"/>
      <c r="K38" s="14">
        <f>IF($H38="","",TODAY()-$H38)</f>
        <v/>
      </c>
      <c r="L38" s="19" t="inlineStr"/>
      <c r="M38" s="17" t="inlineStr"/>
      <c r="N38" s="19" t="inlineStr"/>
      <c r="O38" s="17" t="inlineStr">
        <is>
          <t>Pim Uiting</t>
        </is>
      </c>
      <c r="P38" s="17" t="inlineStr">
        <is>
          <t>pim.uiting@sweco.nl</t>
        </is>
      </c>
      <c r="Q38" s="17" t="inlineStr">
        <is>
          <t>netherlands/2026_08_04_sweco_volantis_pim_uiting</t>
        </is>
      </c>
      <c r="R38" s="18" t="inlineStr">
        <is>
          <t>Medium</t>
        </is>
      </c>
      <c r="S38" s="17" t="inlineStr">
        <is>
          <t>Graduate-friendly ("starters also welcome"). Fluent Dutch and English required, not disclosed per updated default.</t>
        </is>
      </c>
    </row>
    <row r="39" ht="15" customHeight="1" s="21">
      <c r="A39" s="17" t="inlineStr">
        <is>
          <t>Sweco</t>
        </is>
      </c>
      <c r="B39" s="17" t="inlineStr">
        <is>
          <t>Junior Soil Consultant – Environmental Consultancy</t>
        </is>
      </c>
      <c r="C39" s="17" t="inlineStr">
        <is>
          <t>Groningen, NL</t>
        </is>
      </c>
      <c r="D39" s="18" t="inlineStr">
        <is>
          <t>Hybrid</t>
        </is>
      </c>
      <c r="E39" s="17" t="inlineStr">
        <is>
          <t>EUR 3,442-4,100/month</t>
        </is>
      </c>
      <c r="F39" s="17" t="inlineStr">
        <is>
          <t>Company Site</t>
        </is>
      </c>
      <c r="G39" s="17" t="inlineStr">
        <is>
          <t>https://www.sweco.nl/solliciteren/?vacancy=66601</t>
        </is>
      </c>
      <c r="H39" s="19" t="n">
        <v>46238</v>
      </c>
      <c r="I39" s="18" t="inlineStr">
        <is>
          <t>Applied</t>
        </is>
      </c>
      <c r="J39" s="18" t="inlineStr"/>
      <c r="K39" s="14">
        <f>IF($H39="","",TODAY()-$H39)</f>
        <v/>
      </c>
      <c r="L39" s="19" t="inlineStr"/>
      <c r="M39" s="17" t="inlineStr"/>
      <c r="N39" s="19" t="inlineStr"/>
      <c r="O39" s="17" t="inlineStr">
        <is>
          <t>Mariska Moyaert</t>
        </is>
      </c>
      <c r="P39" s="17" t="inlineStr">
        <is>
          <t>mariska.moyaert@sweco.nl</t>
        </is>
      </c>
      <c r="Q39" s="17" t="inlineStr">
        <is>
          <t>netherlands/2026_08_04_sweco_mariska_moyaert</t>
        </is>
      </c>
      <c r="R39" s="18" t="inlineStr">
        <is>
          <t>Medium</t>
        </is>
      </c>
      <c r="S39" s="17" t="inlineStr">
        <is>
          <t>Domain-adjacent fit via real hydrology/water-resources/GIS coursework. Recent graduates explicitly welcomed. Dutch gap not disclosed per updated default.</t>
        </is>
      </c>
    </row>
    <row r="40" ht="15" customHeight="1" s="21">
      <c r="A40" s="17" t="inlineStr">
        <is>
          <t>Sweco</t>
        </is>
      </c>
      <c r="B40" s="17" t="inlineStr">
        <is>
          <t>Junior Fire Safety Advisor – Fire Safety &amp; Simulations</t>
        </is>
      </c>
      <c r="C40" s="17" t="inlineStr">
        <is>
          <t>Amsterdam/Venlo/De Bilt/Rotterdam/Eindhoven, NL</t>
        </is>
      </c>
      <c r="D40" s="18" t="inlineStr">
        <is>
          <t>Hybrid</t>
        </is>
      </c>
      <c r="E40" s="17" t="inlineStr">
        <is>
          <t>EUR 3,442-4,000/month</t>
        </is>
      </c>
      <c r="F40" s="17" t="inlineStr">
        <is>
          <t>Company Site</t>
        </is>
      </c>
      <c r="G40" s="17" t="inlineStr">
        <is>
          <t>https://www.sweco.nl/solliciteren/?vacancy=66548</t>
        </is>
      </c>
      <c r="H40" s="19" t="n">
        <v>46238</v>
      </c>
      <c r="I40" s="18" t="inlineStr">
        <is>
          <t>Applied</t>
        </is>
      </c>
      <c r="J40" s="18" t="inlineStr"/>
      <c r="K40" s="14">
        <f>IF($H40="","",TODAY()-$H40)</f>
        <v/>
      </c>
      <c r="L40" s="19" t="inlineStr"/>
      <c r="M40" s="17" t="inlineStr"/>
      <c r="N40" s="19" t="inlineStr"/>
      <c r="O40" s="17" t="inlineStr">
        <is>
          <t>Bart de Vries</t>
        </is>
      </c>
      <c r="P40" s="17" t="inlineStr">
        <is>
          <t>bart.devries@sweco.nl</t>
        </is>
      </c>
      <c r="Q40" s="17" t="inlineStr">
        <is>
          <t>netherlands/2026_08_04_sweco_bart_de_vries</t>
        </is>
      </c>
      <c r="R40" s="18" t="inlineStr">
        <is>
          <t>Low</t>
        </is>
      </c>
      <c r="S40" s="17" t="inlineStr">
        <is>
          <t>Same domain gap as the earlier Peeters Fire Safety application (different team: Fire Safety &amp; Simulations). No fire-safety/CFD background. Dutch B2 minimum not disclosed per updated default.</t>
        </is>
      </c>
    </row>
    <row r="41" ht="15" customHeight="1" s="21">
      <c r="A41" s="17" t="inlineStr">
        <is>
          <t>Sweco</t>
        </is>
      </c>
      <c r="B41" s="17" t="inlineStr">
        <is>
          <t>Junior Contract Writer Consultant – Civil Engineering (Northern Netherlands)</t>
        </is>
      </c>
      <c r="C41" s="17" t="inlineStr">
        <is>
          <t>Groningen/Leeuwarden, NL</t>
        </is>
      </c>
      <c r="D41" s="18" t="inlineStr">
        <is>
          <t>Hybrid</t>
        </is>
      </c>
      <c r="E41" s="17" t="inlineStr">
        <is>
          <t>EUR 3,442-4,100/month</t>
        </is>
      </c>
      <c r="F41" s="17" t="inlineStr">
        <is>
          <t>Company Site</t>
        </is>
      </c>
      <c r="G41" s="17" t="inlineStr">
        <is>
          <t>https://www.sweco.nl/solliciteren/?vacancy=65625</t>
        </is>
      </c>
      <c r="H41" s="19" t="n">
        <v>46238</v>
      </c>
      <c r="I41" s="18" t="inlineStr">
        <is>
          <t>Applied</t>
        </is>
      </c>
      <c r="J41" s="18" t="inlineStr"/>
      <c r="K41" s="14">
        <f>IF($H41="","",TODAY()-$H41)</f>
        <v/>
      </c>
      <c r="L41" s="19" t="inlineStr"/>
      <c r="M41" s="17" t="inlineStr"/>
      <c r="N41" s="19" t="inlineStr"/>
      <c r="O41" s="17" t="inlineStr">
        <is>
          <t>Annemarie Rook / Kees van der Molen</t>
        </is>
      </c>
      <c r="P41" s="17" t="inlineStr">
        <is>
          <t>annemarie.rook@sweco.nl</t>
        </is>
      </c>
      <c r="Q41" s="17" t="inlineStr">
        <is>
          <t>netherlands/2026_08_04_sweco_contract_writer_groningen</t>
        </is>
      </c>
      <c r="R41" s="18" t="inlineStr">
        <is>
          <t>High</t>
        </is>
      </c>
      <c r="S41" s="17" t="inlineStr">
        <is>
          <t>Strong match — explicit digitalization/AI requirement is a genuine strength, plus the FIDIC contract-review internship. No Dutch requirement listed.</t>
        </is>
      </c>
    </row>
    <row r="42" ht="15" customHeight="1" s="21">
      <c r="A42" s="17" t="inlineStr">
        <is>
          <t>Sweco</t>
        </is>
      </c>
      <c r="B42" s="17" t="inlineStr">
        <is>
          <t>Junior Civil Engineering Project Manager – Urban Projects</t>
        </is>
      </c>
      <c r="C42" s="17" t="inlineStr">
        <is>
          <t>De Bilt, NL</t>
        </is>
      </c>
      <c r="D42" s="18" t="inlineStr">
        <is>
          <t>Hybrid</t>
        </is>
      </c>
      <c r="E42" s="17" t="inlineStr">
        <is>
          <t>EUR 3,442-4,000/month</t>
        </is>
      </c>
      <c r="F42" s="17" t="inlineStr">
        <is>
          <t>Company Site</t>
        </is>
      </c>
      <c r="G42" s="17" t="inlineStr">
        <is>
          <t>https://www.sweco.nl/solliciteren/?vacancy=65797</t>
        </is>
      </c>
      <c r="H42" s="19" t="n">
        <v>46238</v>
      </c>
      <c r="I42" s="18" t="inlineStr">
        <is>
          <t>Applied</t>
        </is>
      </c>
      <c r="J42" s="18" t="inlineStr"/>
      <c r="K42" s="14">
        <f>IF($H42="","",TODAY()-$H42)</f>
        <v/>
      </c>
      <c r="L42" s="19" t="inlineStr"/>
      <c r="M42" s="17" t="inlineStr"/>
      <c r="N42" s="19" t="inlineStr"/>
      <c r="O42" s="17" t="inlineStr">
        <is>
          <t>Bart Witte</t>
        </is>
      </c>
      <c r="P42" s="17" t="inlineStr">
        <is>
          <t>bart.witte@sweco.nl</t>
        </is>
      </c>
      <c r="Q42" s="17" t="inlineStr">
        <is>
          <t>netherlands/2026_08_04_sweco_pm_urban_projects_witte</t>
        </is>
      </c>
      <c r="R42" s="18" t="inlineStr">
        <is>
          <t>Medium</t>
        </is>
      </c>
      <c r="S42" s="17" t="inlineStr">
        <is>
          <t>Second application involving Bart Witte as contact (previously Junior BIM Modeller Alkmaar). Fluent Dutch required, not disclosed per updated default.</t>
        </is>
      </c>
    </row>
    <row r="43" ht="15" customHeight="1" s="21">
      <c r="A43" s="17" t="inlineStr">
        <is>
          <t>Sweco</t>
        </is>
      </c>
      <c r="B43" s="17" t="inlineStr">
        <is>
          <t>Junior Road Engineering Consultant – Living Environment</t>
        </is>
      </c>
      <c r="C43" s="17" t="inlineStr">
        <is>
          <t>Alkmaar, NL</t>
        </is>
      </c>
      <c r="D43" s="18" t="inlineStr">
        <is>
          <t>Hybrid</t>
        </is>
      </c>
      <c r="E43" s="17" t="inlineStr">
        <is>
          <t>EUR 3,442-4,000/month</t>
        </is>
      </c>
      <c r="F43" s="17" t="inlineStr">
        <is>
          <t>Company Site</t>
        </is>
      </c>
      <c r="G43" s="17" t="inlineStr">
        <is>
          <t>https://www.sweco.nl/solliciteren/?vacancy=64592</t>
        </is>
      </c>
      <c r="H43" s="19" t="n">
        <v>46238</v>
      </c>
      <c r="I43" s="18" t="inlineStr">
        <is>
          <t>Applied</t>
        </is>
      </c>
      <c r="J43" s="18" t="inlineStr"/>
      <c r="K43" s="14">
        <f>IF($H43="","",TODAY()-$H43)</f>
        <v/>
      </c>
      <c r="L43" s="19" t="inlineStr"/>
      <c r="M43" s="17" t="inlineStr"/>
      <c r="N43" s="19" t="inlineStr"/>
      <c r="O43" s="17" t="inlineStr">
        <is>
          <t>Bart Witte</t>
        </is>
      </c>
      <c r="P43" s="17" t="inlineStr">
        <is>
          <t>bart.witte@sweco.nl</t>
        </is>
      </c>
      <c r="Q43" s="17" t="inlineStr">
        <is>
          <t>netherlands/2026_08_04_sweco_road_engineering_witte</t>
        </is>
      </c>
      <c r="R43" s="18" t="inlineStr">
        <is>
          <t>Medium</t>
        </is>
      </c>
      <c r="S43" s="17" t="inlineStr">
        <is>
          <t>Third application to Bart Witte (confirmed with user before proceeding). No specific technical software gap; Dutch C1 required, not disclosed per updated default.</t>
        </is>
      </c>
    </row>
    <row r="44" ht="15" customHeight="1" s="21">
      <c r="A44" s="17" t="inlineStr">
        <is>
          <t>Sweco</t>
        </is>
      </c>
      <c r="B44" s="17" t="inlineStr">
        <is>
          <t>Junior Structural Engineer – Engineering &amp; Consultancy Construction</t>
        </is>
      </c>
      <c r="C44" s="17" t="inlineStr">
        <is>
          <t>Groningen/Zwolle, NL</t>
        </is>
      </c>
      <c r="D44" s="18" t="inlineStr">
        <is>
          <t>Hybrid</t>
        </is>
      </c>
      <c r="E44" s="17" t="inlineStr">
        <is>
          <t>EUR 3,442-4,000/month</t>
        </is>
      </c>
      <c r="F44" s="17" t="inlineStr">
        <is>
          <t>Company Site</t>
        </is>
      </c>
      <c r="G44" s="17" t="inlineStr">
        <is>
          <t>https://www.sweco.nl/solliciteren/?vacancy=63877</t>
        </is>
      </c>
      <c r="H44" s="19" t="n">
        <v>46238</v>
      </c>
      <c r="I44" s="18" t="inlineStr">
        <is>
          <t>Applied</t>
        </is>
      </c>
      <c r="J44" s="18" t="inlineStr"/>
      <c r="K44" s="14">
        <f>IF($H44="","",TODAY()-$H44)</f>
        <v/>
      </c>
      <c r="L44" s="19" t="inlineStr"/>
      <c r="M44" s="17" t="inlineStr"/>
      <c r="N44" s="19" t="inlineStr"/>
      <c r="O44" s="17" t="inlineStr">
        <is>
          <t>Sjaak Schreuder</t>
        </is>
      </c>
      <c r="P44" s="17" t="inlineStr">
        <is>
          <t>sjaak.schreuder@sweco.nl</t>
        </is>
      </c>
      <c r="Q44" s="17" t="inlineStr">
        <is>
          <t>netherlands/2026_08_04_sweco_sjaak_schreuder</t>
        </is>
      </c>
      <c r="R44" s="18" t="inlineStr">
        <is>
          <t>Low</t>
        </is>
      </c>
      <c r="S44" s="17" t="inlineStr">
        <is>
          <t>Same domain gap as the Arup Bridge Engineer role — requires structural calculations and Scia/Technosoft, neither of which the candidate has. Dutch gap not disclosed per updated default.</t>
        </is>
      </c>
    </row>
    <row r="45" ht="15" customHeight="1" s="21">
      <c r="A45" s="17" t="inlineStr">
        <is>
          <t>Sweco</t>
        </is>
      </c>
      <c r="B45" s="17" t="inlineStr">
        <is>
          <t>Junior BIM Modeler Civil Engineering – Urban Projects</t>
        </is>
      </c>
      <c r="C45" s="17" t="inlineStr">
        <is>
          <t>De Bilt, NL</t>
        </is>
      </c>
      <c r="D45" s="18" t="inlineStr">
        <is>
          <t>Hybrid</t>
        </is>
      </c>
      <c r="E45" s="17" t="inlineStr">
        <is>
          <t>EUR 3,442-4,000/month</t>
        </is>
      </c>
      <c r="F45" s="17" t="inlineStr">
        <is>
          <t>Company Site</t>
        </is>
      </c>
      <c r="G45" s="17" t="inlineStr">
        <is>
          <t>https://www.sweco.nl/solliciteren/?vacancy=62537</t>
        </is>
      </c>
      <c r="H45" s="19" t="n">
        <v>46238</v>
      </c>
      <c r="I45" s="18" t="inlineStr">
        <is>
          <t>Applied</t>
        </is>
      </c>
      <c r="J45" s="18" t="inlineStr"/>
      <c r="K45" s="14">
        <f>IF($H45="","",TODAY()-$H45)</f>
        <v/>
      </c>
      <c r="L45" s="19" t="inlineStr"/>
      <c r="M45" s="17" t="inlineStr"/>
      <c r="N45" s="19" t="inlineStr"/>
      <c r="O45" s="17" t="inlineStr">
        <is>
          <t>Robin Bree</t>
        </is>
      </c>
      <c r="P45" s="17" t="inlineStr">
        <is>
          <t>lindsay.vanheugten@sweco.nl</t>
        </is>
      </c>
      <c r="Q45" s="17" t="inlineStr">
        <is>
          <t>netherlands/2026_08_04_sweco_robin_bree</t>
        </is>
      </c>
      <c r="R45" s="18" t="inlineStr">
        <is>
          <t>High</t>
        </is>
      </c>
      <c r="S45" s="17" t="inlineStr">
        <is>
          <t>Strong direct match (Revit/Civil 3D modelling role). Dutch gap not disclosed per updated default.</t>
        </is>
      </c>
    </row>
    <row r="46" ht="15" customHeight="1" s="21">
      <c r="A46" s="17" t="inlineStr">
        <is>
          <t>Sweco</t>
        </is>
      </c>
      <c r="B46" s="17" t="inlineStr">
        <is>
          <t>(Junior) Structural Modeler – Engineering &amp; Consultancy Construction</t>
        </is>
      </c>
      <c r="C46" s="17" t="inlineStr">
        <is>
          <t>Groningen, NL</t>
        </is>
      </c>
      <c r="D46" s="18" t="inlineStr">
        <is>
          <t>Hybrid</t>
        </is>
      </c>
      <c r="E46" s="17" t="inlineStr">
        <is>
          <t>EUR 3,442-4,000/month</t>
        </is>
      </c>
      <c r="F46" s="17" t="inlineStr">
        <is>
          <t>Company Site</t>
        </is>
      </c>
      <c r="G46" s="17" t="inlineStr">
        <is>
          <t>https://www.sweco.nl/solliciteren/?vacancy=62445</t>
        </is>
      </c>
      <c r="H46" s="19" t="n">
        <v>46238</v>
      </c>
      <c r="I46" s="18" t="inlineStr">
        <is>
          <t>Applied</t>
        </is>
      </c>
      <c r="J46" s="18" t="inlineStr"/>
      <c r="K46" s="14">
        <f>IF($H46="","",TODAY()-$H46)</f>
        <v/>
      </c>
      <c r="L46" s="19" t="inlineStr"/>
      <c r="M46" s="17" t="inlineStr"/>
      <c r="N46" s="19" t="inlineStr"/>
      <c r="O46" s="17" t="inlineStr">
        <is>
          <t>Jasper Pouls</t>
        </is>
      </c>
      <c r="P46" s="17" t="inlineStr">
        <is>
          <t>jasper.pouls@sweco.nl</t>
        </is>
      </c>
      <c r="Q46" s="17" t="inlineStr">
        <is>
          <t>netherlands/2026_08_04_sweco_jasper_pouls</t>
        </is>
      </c>
      <c r="R46" s="18" t="inlineStr">
        <is>
          <t>High</t>
        </is>
      </c>
      <c r="S46" s="17" t="inlineStr">
        <is>
          <t>Good direct match (Revit-based modelling role, not pure structural calculation). Dutch gap not disclosed per updated default.</t>
        </is>
      </c>
    </row>
    <row r="47" ht="15" customHeight="1" s="21">
      <c r="A47" s="17" t="inlineStr">
        <is>
          <t>Sweco</t>
        </is>
      </c>
      <c r="B47" s="17" t="inlineStr">
        <is>
          <t>Junior Civil Designer – Integrated Infrastructure Design</t>
        </is>
      </c>
      <c r="C47" s="17" t="inlineStr">
        <is>
          <t>Amsterdam/De Bilt/Rotterdam/Alkmaar, NL</t>
        </is>
      </c>
      <c r="D47" s="18" t="inlineStr">
        <is>
          <t>Hybrid</t>
        </is>
      </c>
      <c r="E47" s="17" t="inlineStr">
        <is>
          <t>EUR 3,442-4,000/month</t>
        </is>
      </c>
      <c r="F47" s="17" t="inlineStr">
        <is>
          <t>Company Site</t>
        </is>
      </c>
      <c r="G47" s="17" t="inlineStr">
        <is>
          <t>https://www.sweco.nl/solliciteren/?vacancy=61191</t>
        </is>
      </c>
      <c r="H47" s="19" t="n">
        <v>46238</v>
      </c>
      <c r="I47" s="18" t="inlineStr">
        <is>
          <t>Applied</t>
        </is>
      </c>
      <c r="J47" s="18" t="inlineStr"/>
      <c r="K47" s="14">
        <f>IF($H47="","",TODAY()-$H47)</f>
        <v/>
      </c>
      <c r="L47" s="19" t="inlineStr"/>
      <c r="M47" s="17" t="inlineStr"/>
      <c r="N47" s="19" t="inlineStr"/>
      <c r="O47" s="17" t="inlineStr">
        <is>
          <t>Peter Koelman</t>
        </is>
      </c>
      <c r="P47" s="17" t="inlineStr">
        <is>
          <t>peter.koelman@sweco.nl</t>
        </is>
      </c>
      <c r="Q47" s="17" t="inlineStr">
        <is>
          <t>netherlands/2026_08_04_sweco_peter_koelman</t>
        </is>
      </c>
      <c r="R47" s="18" t="inlineStr">
        <is>
          <t>High</t>
        </is>
      </c>
      <c r="S47" s="17" t="inlineStr">
        <is>
          <t>Strong match — no Dutch requirement listed, explicit AI/digitalization emphasis is a genuine strength.</t>
        </is>
      </c>
    </row>
    <row r="48" ht="15" customHeight="1" s="21">
      <c r="A48" s="17" t="inlineStr">
        <is>
          <t>Sweco</t>
        </is>
      </c>
      <c r="B48" s="17" t="inlineStr">
        <is>
          <t>(Junior) Civil Engineering Project Engineer – Infrastructure</t>
        </is>
      </c>
      <c r="C48" s="17" t="inlineStr">
        <is>
          <t>Zwolle, NL</t>
        </is>
      </c>
      <c r="D48" s="18" t="inlineStr">
        <is>
          <t>Hybrid</t>
        </is>
      </c>
      <c r="E48" s="17" t="inlineStr">
        <is>
          <t>EUR 3,442-4,000/month</t>
        </is>
      </c>
      <c r="F48" s="17" t="inlineStr">
        <is>
          <t>Company Site</t>
        </is>
      </c>
      <c r="G48" s="17" t="inlineStr">
        <is>
          <t>https://www.sweco.nl/solliciteren/?vacancy=55138</t>
        </is>
      </c>
      <c r="H48" s="19" t="n">
        <v>46238</v>
      </c>
      <c r="I48" s="18" t="inlineStr">
        <is>
          <t>Applied</t>
        </is>
      </c>
      <c r="J48" s="18" t="inlineStr"/>
      <c r="K48" s="14">
        <f>IF($H48="","",TODAY()-$H48)</f>
        <v/>
      </c>
      <c r="L48" s="19" t="inlineStr"/>
      <c r="M48" s="17" t="inlineStr"/>
      <c r="N48" s="19" t="inlineStr"/>
      <c r="O48" s="17" t="inlineStr">
        <is>
          <t>Jeroen van de Uitvlugt</t>
        </is>
      </c>
      <c r="P48" s="17" t="inlineStr">
        <is>
          <t>jeroen.vandeuitvlugt@sweco.nl</t>
        </is>
      </c>
      <c r="Q48" s="17" t="inlineStr">
        <is>
          <t>netherlands/2026_08_04_sweco_jeroen_uitvlugt</t>
        </is>
      </c>
      <c r="R48" s="18" t="inlineStr">
        <is>
          <t>High</t>
        </is>
      </c>
      <c r="S48" s="17" t="inlineStr">
        <is>
          <t>Strong match — no Dutch requirement listed; AutoCAD, cost estimation and FIDIC contract-review experience all genuine strengths.</t>
        </is>
      </c>
    </row>
    <row r="49" ht="15" customHeight="1" s="21">
      <c r="A49" s="17" t="inlineStr">
        <is>
          <t>Sweco</t>
        </is>
      </c>
      <c r="B49" s="17" t="inlineStr">
        <is>
          <t>Junior Road Management Advisor</t>
        </is>
      </c>
      <c r="C49" s="17" t="inlineStr">
        <is>
          <t>Multiple NL offices (Middelburg/Groningen/Arnhem/Leeuwarden/De Bilt/Rotterdam/Alkmaar/Eindhoven/Amsterdam)</t>
        </is>
      </c>
      <c r="D49" s="18" t="inlineStr">
        <is>
          <t>Hybrid</t>
        </is>
      </c>
      <c r="E49" s="17" t="inlineStr"/>
      <c r="F49" s="17" t="inlineStr">
        <is>
          <t>Company Site</t>
        </is>
      </c>
      <c r="G49" s="17" t="inlineStr">
        <is>
          <t>https://www.sweco.nl/solliciteren/?vacancy=52972</t>
        </is>
      </c>
      <c r="H49" s="19" t="n">
        <v>46238</v>
      </c>
      <c r="I49" s="18" t="inlineStr">
        <is>
          <t>Applied</t>
        </is>
      </c>
      <c r="J49" s="18" t="inlineStr"/>
      <c r="K49" s="14">
        <f>IF($H49="","",TODAY()-$H49)</f>
        <v/>
      </c>
      <c r="L49" s="19" t="inlineStr"/>
      <c r="M49" s="17" t="inlineStr"/>
      <c r="N49" s="19" t="inlineStr"/>
      <c r="O49" s="17" t="inlineStr">
        <is>
          <t>Rob Krom</t>
        </is>
      </c>
      <c r="P49" s="17" t="inlineStr">
        <is>
          <t>rob.krom@sweco.nl</t>
        </is>
      </c>
      <c r="Q49" s="17" t="inlineStr">
        <is>
          <t>netherlands/2026_08_04_sweco_rob_krom</t>
        </is>
      </c>
      <c r="R49" s="18" t="inlineStr">
        <is>
          <t>High</t>
        </is>
      </c>
      <c r="S49" s="17" t="inlineStr">
        <is>
          <t>Strong match — no Dutch requirement listed; GIS (ArcGIS) and explicit AI/digitalization asks are both genuine strengths.</t>
        </is>
      </c>
    </row>
    <row r="50" ht="15" customHeight="1" s="21">
      <c r="A50" s="17" t="inlineStr">
        <is>
          <t>Sweco</t>
        </is>
      </c>
      <c r="B50" s="17" t="inlineStr">
        <is>
          <t>(Junior) Hydraulic Engineering Design Manager – Structural Hydraulic Engineering</t>
        </is>
      </c>
      <c r="C50" s="17" t="inlineStr">
        <is>
          <t>De Bilt/Rotterdam/Amsterdam, NL</t>
        </is>
      </c>
      <c r="D50" s="18" t="inlineStr">
        <is>
          <t>Hybrid</t>
        </is>
      </c>
      <c r="E50" s="17" t="inlineStr">
        <is>
          <t>EUR 4,000-5,500/month</t>
        </is>
      </c>
      <c r="F50" s="17" t="inlineStr">
        <is>
          <t>Company Site</t>
        </is>
      </c>
      <c r="G50" s="17" t="inlineStr">
        <is>
          <t>https://www.sweco.nl/solliciteren/?vacancy=50518</t>
        </is>
      </c>
      <c r="H50" s="19" t="n">
        <v>46238</v>
      </c>
      <c r="I50" s="18" t="inlineStr">
        <is>
          <t>Applied</t>
        </is>
      </c>
      <c r="J50" s="18" t="inlineStr"/>
      <c r="K50" s="14">
        <f>IF($H50="","",TODAY()-$H50)</f>
        <v/>
      </c>
      <c r="L50" s="19" t="inlineStr"/>
      <c r="M50" s="17" t="inlineStr"/>
      <c r="N50" s="19" t="inlineStr"/>
      <c r="O50" s="17" t="inlineStr">
        <is>
          <t>Jan Hein Poodt</t>
        </is>
      </c>
      <c r="P50" s="17" t="inlineStr">
        <is>
          <t>jan-hein.poodt@sweco.nl</t>
        </is>
      </c>
      <c r="Q50" s="17" t="inlineStr">
        <is>
          <t>netherlands/2026_08_04_sweco_jan_hein_poodt</t>
        </is>
      </c>
      <c r="R50" s="18" t="inlineStr">
        <is>
          <t>Low</t>
        </is>
      </c>
      <c r="S50" s="17" t="inlineStr">
        <is>
          <t>Long-shot per user request — 5 years experience required despite "(Junior)" title, mid-level salary band. Good domain fit (hydrology/water resources coursework) but real seniority gap.</t>
        </is>
      </c>
    </row>
    <row r="51" ht="15" customHeight="1" s="21">
      <c r="A51" s="17" t="inlineStr">
        <is>
          <t>Sweco</t>
        </is>
      </c>
      <c r="B51" s="17" t="inlineStr">
        <is>
          <t>Junior Advisor Underground Infrastructure &amp; Water</t>
        </is>
      </c>
      <c r="C51" s="17" t="inlineStr">
        <is>
          <t>De Bilt, NL</t>
        </is>
      </c>
      <c r="D51" s="18" t="inlineStr">
        <is>
          <t>Hybrid</t>
        </is>
      </c>
      <c r="E51" s="17" t="inlineStr">
        <is>
          <t>EUR 3,442-3,766/month</t>
        </is>
      </c>
      <c r="F51" s="17" t="inlineStr">
        <is>
          <t>Company Site</t>
        </is>
      </c>
      <c r="G51" s="17" t="inlineStr">
        <is>
          <t>https://www.sweco.nl/solliciteren/?vacancy=47996</t>
        </is>
      </c>
      <c r="H51" s="19" t="n">
        <v>46238</v>
      </c>
      <c r="I51" s="18" t="inlineStr">
        <is>
          <t>Applied</t>
        </is>
      </c>
      <c r="J51" s="18" t="inlineStr"/>
      <c r="K51" s="14">
        <f>IF($H51="","",TODAY()-$H51)</f>
        <v/>
      </c>
      <c r="L51" s="19" t="inlineStr"/>
      <c r="M51" s="17" t="inlineStr"/>
      <c r="N51" s="19" t="inlineStr"/>
      <c r="O51" s="17" t="inlineStr">
        <is>
          <t>John Driessen</t>
        </is>
      </c>
      <c r="P51" s="17" t="inlineStr">
        <is>
          <t>john.driessen@sweco.nl</t>
        </is>
      </c>
      <c r="Q51" s="17" t="inlineStr">
        <is>
          <t>netherlands/2026_08_04_sweco_underground_infra_driessen</t>
        </is>
      </c>
      <c r="R51" s="18" t="inlineStr">
        <is>
          <t>High</t>
        </is>
      </c>
      <c r="S51" s="17" t="inlineStr">
        <is>
          <t>Second application to John Driessen (previously Transport Pipeline Engineer). Strong match — GIS/data science/BIM explicitly named, no Dutch requirement listed, graduate-friendly.</t>
        </is>
      </c>
    </row>
    <row r="52" ht="15" customHeight="1" s="21">
      <c r="A52" s="17" t="inlineStr">
        <is>
          <t>Sweco</t>
        </is>
      </c>
      <c r="B52" s="17" t="inlineStr">
        <is>
          <t>(Junior) Structural Engineer – Engineering &amp; Consultancy Construction</t>
        </is>
      </c>
      <c r="C52" s="17" t="inlineStr">
        <is>
          <t>Middelburg, NL</t>
        </is>
      </c>
      <c r="D52" s="18" t="inlineStr">
        <is>
          <t>Hybrid</t>
        </is>
      </c>
      <c r="E52" s="17" t="inlineStr">
        <is>
          <t>EUR 3,442-4,000/month</t>
        </is>
      </c>
      <c r="F52" s="17" t="inlineStr">
        <is>
          <t>Company Site</t>
        </is>
      </c>
      <c r="G52" s="17" t="inlineStr">
        <is>
          <t>https://www.sweco.nl/solliciteren/?vacancy=53226</t>
        </is>
      </c>
      <c r="H52" s="19" t="n">
        <v>46238</v>
      </c>
      <c r="I52" s="18" t="inlineStr">
        <is>
          <t>Applied</t>
        </is>
      </c>
      <c r="J52" s="18" t="inlineStr"/>
      <c r="K52" s="14">
        <f>IF($H52="","",TODAY()-$H52)</f>
        <v/>
      </c>
      <c r="L52" s="19" t="inlineStr"/>
      <c r="M52" s="17" t="inlineStr"/>
      <c r="N52" s="19" t="inlineStr"/>
      <c r="O52" s="17" t="inlineStr">
        <is>
          <t>Michel van Aert</t>
        </is>
      </c>
      <c r="P52" s="17" t="inlineStr">
        <is>
          <t>michel.vanaert@sweco.nl</t>
        </is>
      </c>
      <c r="Q52" s="17" t="inlineStr">
        <is>
          <t>netherlands/2026_08_04_sweco_michel_van_aert</t>
        </is>
      </c>
      <c r="R52" s="18" t="inlineStr">
        <is>
          <t>High</t>
        </is>
      </c>
      <c r="S52" s="17" t="inlineStr">
        <is>
          <t>Same shape as the Schreuder/Pouls structural roles (Revit-based modelling, different branch). Dutch gap not disclosed per updated default.</t>
        </is>
      </c>
    </row>
    <row r="53" ht="15" customHeight="1" s="21">
      <c r="A53" s="17" t="inlineStr">
        <is>
          <t>Sweco</t>
        </is>
      </c>
      <c r="B53" s="17" t="inlineStr">
        <is>
          <t>Junior Project Consultant – Area Development</t>
        </is>
      </c>
      <c r="C53" s="17" t="inlineStr">
        <is>
          <t>Arnhem, NL</t>
        </is>
      </c>
      <c r="D53" s="18" t="inlineStr">
        <is>
          <t>Hybrid</t>
        </is>
      </c>
      <c r="E53" s="17" t="inlineStr">
        <is>
          <t>EUR 3,442-4,000/month</t>
        </is>
      </c>
      <c r="F53" s="17" t="inlineStr">
        <is>
          <t>Company Site</t>
        </is>
      </c>
      <c r="G53" s="17" t="inlineStr">
        <is>
          <t>https://www.sweco.nl/solliciteren/?vacancy=39914</t>
        </is>
      </c>
      <c r="H53" s="19" t="n">
        <v>46238</v>
      </c>
      <c r="I53" s="18" t="inlineStr">
        <is>
          <t>Applied</t>
        </is>
      </c>
      <c r="J53" s="18" t="inlineStr"/>
      <c r="K53" s="14">
        <f>IF($H53="","",TODAY()-$H53)</f>
        <v/>
      </c>
      <c r="L53" s="19" t="inlineStr"/>
      <c r="M53" s="17" t="inlineStr"/>
      <c r="N53" s="19" t="inlineStr"/>
      <c r="O53" s="17" t="inlineStr">
        <is>
          <t>Marcel Janssen</t>
        </is>
      </c>
      <c r="P53" s="17" t="inlineStr">
        <is>
          <t>marcel.janssen@sweco.nl</t>
        </is>
      </c>
      <c r="Q53" s="17" t="inlineStr">
        <is>
          <t>netherlands/2026_08_04_sweco_marcel_janssen</t>
        </is>
      </c>
      <c r="R53" s="18" t="inlineStr">
        <is>
          <t>High</t>
        </is>
      </c>
      <c r="S53" s="17" t="inlineStr">
        <is>
          <t>Good match — digitalization/AI explicitly a plus, civil engineering/land-water framing fits. Dutch gap not disclosed per updated default.</t>
        </is>
      </c>
    </row>
    <row r="54" ht="15" customHeight="1" s="21">
      <c r="A54" s="17" t="inlineStr">
        <is>
          <t>Sweco</t>
        </is>
      </c>
      <c r="B54" s="17" t="inlineStr">
        <is>
          <t>(Junior) Civil Engineer – Engineering and Urban Projects</t>
        </is>
      </c>
      <c r="C54" s="17" t="inlineStr">
        <is>
          <t>Multiple NL offices (Alkmaar/Amsterdam/Middelburg/Arnhem/Groningen/Zwolle/Leeuwarden/De Bilt)</t>
        </is>
      </c>
      <c r="D54" s="18" t="inlineStr">
        <is>
          <t>Hybrid</t>
        </is>
      </c>
      <c r="E54" s="17" t="inlineStr">
        <is>
          <t>EUR 3,442-4,000/month</t>
        </is>
      </c>
      <c r="F54" s="17" t="inlineStr">
        <is>
          <t>Company Site</t>
        </is>
      </c>
      <c r="G54" s="17" t="inlineStr">
        <is>
          <t>https://www.sweco.nl/solliciteren/?vacancy=39949</t>
        </is>
      </c>
      <c r="H54" s="19" t="n">
        <v>46238</v>
      </c>
      <c r="I54" s="18" t="inlineStr">
        <is>
          <t>Applied</t>
        </is>
      </c>
      <c r="J54" s="18" t="inlineStr"/>
      <c r="K54" s="14">
        <f>IF($H54="","",TODAY()-$H54)</f>
        <v/>
      </c>
      <c r="L54" s="19" t="inlineStr"/>
      <c r="M54" s="17" t="inlineStr"/>
      <c r="N54" s="19" t="inlineStr"/>
      <c r="O54" s="17" t="inlineStr">
        <is>
          <t>Robin Bree</t>
        </is>
      </c>
      <c r="P54" s="17" t="inlineStr">
        <is>
          <t>lindsay.vanheugten@sweco.nl</t>
        </is>
      </c>
      <c r="Q54" s="17" t="inlineStr">
        <is>
          <t>netherlands/2026_08_04_sweco_civil_engineer_bree</t>
        </is>
      </c>
      <c r="R54" s="18" t="inlineStr">
        <is>
          <t>High</t>
        </is>
      </c>
      <c r="S54" s="17" t="inlineStr">
        <is>
          <t>Second application to Robin Bree (previously BIM Modeler Civil Engineering). Strong overall match: AutoCAD, digitalization/AI, FIDIC contract review all genuine strengths.</t>
        </is>
      </c>
    </row>
    <row r="55" ht="15" customHeight="1" s="21">
      <c r="A55" s="17" t="inlineStr">
        <is>
          <t>Sweco Energi</t>
        </is>
      </c>
      <c r="B55" s="17" t="inlineStr">
        <is>
          <t>Junior Project Manager – District Heating Projects</t>
        </is>
      </c>
      <c r="C55" s="17" t="inlineStr">
        <is>
          <t>Greater Copenhagen / North Zealand, DK</t>
        </is>
      </c>
      <c r="D55" s="18" t="inlineStr"/>
      <c r="E55" s="17" t="inlineStr"/>
      <c r="F55" s="17" t="inlineStr">
        <is>
          <t>Company Site</t>
        </is>
      </c>
      <c r="G55" s="17" t="inlineStr">
        <is>
          <t>https://candidate.hr-manager.net/ApplicationInit.aspx?cid=87&amp;ProjectId=183677&amp;DepartmentId=2127&amp;SkipAdvertisement=true</t>
        </is>
      </c>
      <c r="H55" s="19" t="n">
        <v>46238</v>
      </c>
      <c r="I55" s="18" t="inlineStr">
        <is>
          <t>Applied</t>
        </is>
      </c>
      <c r="J55" s="18" t="inlineStr"/>
      <c r="K55" s="14">
        <f>IF($H55="","",TODAY()-$H55)</f>
        <v/>
      </c>
      <c r="L55" s="19" t="inlineStr"/>
      <c r="M55" s="17" t="inlineStr"/>
      <c r="N55" s="19" t="inlineStr"/>
      <c r="O55" s="17" t="inlineStr"/>
      <c r="P55" s="17" t="inlineStr"/>
      <c r="Q55" s="17" t="inlineStr">
        <is>
          <t>denmark/2026_08_04_sweco_district_heating_pm</t>
        </is>
      </c>
      <c r="R55" s="18" t="inlineStr">
        <is>
          <t>Medium</t>
        </is>
      </c>
      <c r="S55" s="17" t="inlineStr">
        <is>
          <t>3 years experience required, not disclosed per updated default. No explicit language requirement listed. Leans on real energy-management coursework.</t>
        </is>
      </c>
    </row>
    <row r="56" ht="15" customHeight="1" s="21">
      <c r="A56" s="17" t="inlineStr">
        <is>
          <t>Sweco</t>
        </is>
      </c>
      <c r="B56" s="17" t="inlineStr">
        <is>
          <t>Junior Engineer (Req. 269)</t>
        </is>
      </c>
      <c r="C56" s="17" t="inlineStr">
        <is>
          <t>Multiple BE/LU offices (Berchem/Gent/Brussels/Hasselt/Leuven and others)</t>
        </is>
      </c>
      <c r="D56" s="18" t="inlineStr">
        <is>
          <t>Hybrid</t>
        </is>
      </c>
      <c r="E56" s="17" t="inlineStr"/>
      <c r="F56" s="17" t="inlineStr">
        <is>
          <t>Company Site</t>
        </is>
      </c>
      <c r="G56" s="17" t="inlineStr"/>
      <c r="H56" s="19" t="n">
        <v>46238</v>
      </c>
      <c r="I56" s="18" t="inlineStr">
        <is>
          <t>Applied</t>
        </is>
      </c>
      <c r="J56" s="18" t="inlineStr"/>
      <c r="K56" s="14">
        <f>IF($H56="","",TODAY()-$H56)</f>
        <v/>
      </c>
      <c r="L56" s="19" t="inlineStr"/>
      <c r="M56" s="17" t="inlineStr"/>
      <c r="N56" s="19" t="inlineStr"/>
      <c r="O56" s="17" t="inlineStr"/>
      <c r="P56" s="17" t="inlineStr"/>
      <c r="Q56" s="17" t="inlineStr">
        <is>
          <t>belgium/2026_08_04_sweco_junior_engineer</t>
        </is>
      </c>
      <c r="R56" s="18" t="inlineStr">
        <is>
          <t>High</t>
        </is>
      </c>
      <c r="S56" s="17" t="inlineStr">
        <is>
          <t>No language/software requirement listed, explicitly open to near-graduates. Excellent accessibility, strong AI/digitalization profile fits well.</t>
        </is>
      </c>
    </row>
    <row r="57" ht="15" customHeight="1" s="21">
      <c r="A57" s="17" t="inlineStr">
        <is>
          <t>Sweco</t>
        </is>
      </c>
      <c r="B57" s="17" t="inlineStr">
        <is>
          <t>BIM Coordinator (Req. 1359)</t>
        </is>
      </c>
      <c r="C57" s="17" t="inlineStr">
        <is>
          <t>Antwerp, BE (also Ghent/Berchem/Brussels and others)</t>
        </is>
      </c>
      <c r="D57" s="18" t="inlineStr">
        <is>
          <t>Hybrid</t>
        </is>
      </c>
      <c r="E57" s="17" t="inlineStr"/>
      <c r="F57" s="17" t="inlineStr">
        <is>
          <t>Company Site</t>
        </is>
      </c>
      <c r="G57" s="17" t="inlineStr"/>
      <c r="H57" s="19" t="n">
        <v>46238</v>
      </c>
      <c r="I57" s="18" t="inlineStr">
        <is>
          <t>Applied</t>
        </is>
      </c>
      <c r="J57" s="18" t="inlineStr"/>
      <c r="K57" s="14">
        <f>IF($H57="","",TODAY()-$H57)</f>
        <v/>
      </c>
      <c r="L57" s="19" t="inlineStr"/>
      <c r="M57" s="17" t="inlineStr"/>
      <c r="N57" s="19" t="inlineStr"/>
      <c r="O57" s="17" t="inlineStr"/>
      <c r="P57" s="17" t="inlineStr"/>
      <c r="Q57" s="17" t="inlineStr">
        <is>
          <t>belgium/2026_08_04_sweco_bim_coordinator_antwerp</t>
        </is>
      </c>
      <c r="R57" s="18" t="inlineStr">
        <is>
          <t>High</t>
        </is>
      </c>
      <c r="S57" s="17" t="inlineStr">
        <is>
          <t>Strong direct BIM match. 3 years experience gap not disclosed per updated default; no language requirement listed.</t>
        </is>
      </c>
    </row>
    <row r="58" ht="15" customHeight="1" s="21">
      <c r="A58" s="17" t="inlineStr">
        <is>
          <t>Sweco</t>
        </is>
      </c>
      <c r="B58" s="17" t="inlineStr">
        <is>
          <t>Information Coordinator (expression of interest)</t>
        </is>
      </c>
      <c r="C58" s="17" t="inlineStr">
        <is>
          <t>Sundsvall/Ostersund, SE</t>
        </is>
      </c>
      <c r="D58" s="18" t="inlineStr">
        <is>
          <t>Hybrid</t>
        </is>
      </c>
      <c r="E58" s="17" t="inlineStr"/>
      <c r="F58" s="17" t="inlineStr">
        <is>
          <t>Company Site</t>
        </is>
      </c>
      <c r="G58" s="17" t="inlineStr">
        <is>
          <t>https://www.sweco.se/karriar/ansok-har/?rmpage=apply&amp;rmjob=25028</t>
        </is>
      </c>
      <c r="H58" s="19" t="n">
        <v>46238</v>
      </c>
      <c r="I58" s="18" t="inlineStr">
        <is>
          <t>Applied</t>
        </is>
      </c>
      <c r="J58" s="18" t="inlineStr"/>
      <c r="K58" s="14">
        <f>IF($H58="","",TODAY()-$H58)</f>
        <v/>
      </c>
      <c r="L58" s="19" t="inlineStr"/>
      <c r="M58" s="17" t="inlineStr"/>
      <c r="N58" s="19" t="inlineStr"/>
      <c r="O58" s="17" t="inlineStr">
        <is>
          <t>Malin Kullstrom</t>
        </is>
      </c>
      <c r="P58" s="17" t="inlineStr">
        <is>
          <t>malin.kullstrom@sweco.se</t>
        </is>
      </c>
      <c r="Q58" s="17" t="inlineStr">
        <is>
          <t>sweden/2026_08_04_sweco_info_coordinator_sundsvall</t>
        </is>
      </c>
      <c r="R58" s="18" t="inlineStr">
        <is>
          <t>High</t>
        </is>
      </c>
      <c r="S58" s="17" t="inlineStr">
        <is>
          <t>Excellent domain fit — role is essentially the candidate’s exact specialty (Information Manager, ISO 19650). Swedish gap not disclosed per updated default; confirmed with user given the strong fit. 3 years experience also required.</t>
        </is>
      </c>
    </row>
    <row r="59" ht="15" customHeight="1" s="21">
      <c r="A59" s="17" t="inlineStr">
        <is>
          <t>WSP</t>
        </is>
      </c>
      <c r="B59" s="17" t="inlineStr">
        <is>
          <t>Junior Water Safety Advisor – Water and Environment</t>
        </is>
      </c>
      <c r="C59" s="17" t="inlineStr">
        <is>
          <t>Breda/Nieuwegein/Rotterdam, NL</t>
        </is>
      </c>
      <c r="D59" s="18" t="inlineStr">
        <is>
          <t>Hybrid</t>
        </is>
      </c>
      <c r="E59" s="17" t="inlineStr"/>
      <c r="F59" s="17" t="inlineStr">
        <is>
          <t>Company Site</t>
        </is>
      </c>
      <c r="G59" s="17" t="inlineStr"/>
      <c r="H59" s="19" t="n">
        <v>46238</v>
      </c>
      <c r="I59" s="18" t="inlineStr">
        <is>
          <t>Applied</t>
        </is>
      </c>
      <c r="J59" s="18" t="inlineStr"/>
      <c r="K59" s="14">
        <f>IF($H59="","",TODAY()-$H59)</f>
        <v/>
      </c>
      <c r="L59" s="19" t="inlineStr"/>
      <c r="M59" s="17" t="inlineStr"/>
      <c r="N59" s="19" t="inlineStr"/>
      <c r="O59" s="17" t="inlineStr"/>
      <c r="P59" s="17" t="inlineStr"/>
      <c r="Q59" s="17" t="inlineStr">
        <is>
          <t>netherlands/2026_08_04_wsp_water_safety</t>
        </is>
      </c>
      <c r="R59" s="18" t="inlineStr">
        <is>
          <t>Medium</t>
        </is>
      </c>
      <c r="S59" s="17" t="inlineStr">
        <is>
          <t>First WSP application. Decent water-adjacent fit; geotechnical stability/piping analysis is a different specialty than hydrology coursework, framed honestly as genuine interest rather than claimed expertise.</t>
        </is>
      </c>
    </row>
    <row r="60" ht="15" customHeight="1" s="21">
      <c r="A60" s="17" t="inlineStr">
        <is>
          <t>Ferrovial Construction</t>
        </is>
      </c>
      <c r="B60" s="17" t="inlineStr">
        <is>
          <t>BIM Graduate – Quality and Design Department (JR18626)</t>
        </is>
      </c>
      <c r="C60" s="17" t="inlineStr">
        <is>
          <t>London, UK</t>
        </is>
      </c>
      <c r="D60" s="18" t="inlineStr">
        <is>
          <t>On-site</t>
        </is>
      </c>
      <c r="E60" s="17" t="inlineStr"/>
      <c r="F60" s="17" t="inlineStr">
        <is>
          <t>Company Site</t>
        </is>
      </c>
      <c r="G60" s="17" t="inlineStr">
        <is>
          <t>https://ferrovial.wd3.myworkdayjobs.com/Ferrovial_Career_Site/job/London/BIM-Graduate_JR18626/apply?source=LinkedIn</t>
        </is>
      </c>
      <c r="H60" s="19" t="n">
        <v>46246</v>
      </c>
      <c r="I60" s="18" t="inlineStr">
        <is>
          <t>Applied</t>
        </is>
      </c>
      <c r="J60" s="18" t="inlineStr"/>
      <c r="K60" s="14">
        <f>IF($H60="","",TODAY()-$H60)</f>
        <v/>
      </c>
      <c r="L60" s="19" t="inlineStr"/>
      <c r="M60" s="17" t="inlineStr"/>
      <c r="N60" s="19" t="inlineStr"/>
      <c r="O60" s="17" t="inlineStr"/>
      <c r="P60" s="17" t="inlineStr"/>
      <c r="Q60" s="17" t="inlineStr">
        <is>
          <t>uk/2026_08_12_ferrovial_bim_graduate</t>
        </is>
      </c>
      <c r="R60" s="18" t="inlineStr">
        <is>
          <t>High</t>
        </is>
      </c>
      <c r="S60" s="17" t="inlineStr">
        <is>
          <t>Near-exact fit (posting names BIM as a qualifying master’s degree, 2-year graduate program, no experience required). UK right-to-work confirmed by user as securable by start date; stated directly on the CV per the posting’s essential requirement.</t>
        </is>
      </c>
    </row>
    <row r="61" ht="15" customHeight="1" s="21">
      <c r="A61" s="17" t="inlineStr">
        <is>
          <t>Ferrovial Construction</t>
        </is>
      </c>
      <c r="B61" s="17" t="inlineStr">
        <is>
          <t>Graduate Digital Construction &amp; Data Management 2026 (JR18262)</t>
        </is>
      </c>
      <c r="C61" s="17" t="inlineStr">
        <is>
          <t>London, UK</t>
        </is>
      </c>
      <c r="D61" s="18" t="inlineStr">
        <is>
          <t>On-site</t>
        </is>
      </c>
      <c r="E61" s="17" t="inlineStr"/>
      <c r="F61" s="17" t="inlineStr">
        <is>
          <t>Company Site</t>
        </is>
      </c>
      <c r="G61" s="17" t="inlineStr">
        <is>
          <t>https://ferrovial.wd3.myworkdayjobs.com/en-US/Ferrovial_Career_Site/job/London/Graduate-Digital-Construction---Data-Management-2026_JR18262/apply?source=LinkedIn</t>
        </is>
      </c>
      <c r="H61" s="19" t="n">
        <v>46246</v>
      </c>
      <c r="I61" s="18" t="inlineStr">
        <is>
          <t>Applied</t>
        </is>
      </c>
      <c r="J61" s="18" t="inlineStr"/>
      <c r="K61" s="14">
        <f>IF($H61="","",TODAY()-$H61)</f>
        <v/>
      </c>
      <c r="L61" s="19" t="inlineStr"/>
      <c r="M61" s="17" t="inlineStr"/>
      <c r="N61" s="19" t="inlineStr"/>
      <c r="O61" s="17" t="inlineStr"/>
      <c r="P61" s="17" t="inlineStr"/>
      <c r="Q61" s="17" t="inlineStr">
        <is>
          <t>uk/2026_08_12_ferrovial_digital_construction_data</t>
        </is>
      </c>
      <c r="R61" s="18" t="inlineStr">
        <is>
          <t>High</t>
        </is>
      </c>
      <c r="S61" s="17" t="inlineStr">
        <is>
          <t>Second Ferrovial application, same team/program as BIM Graduate (JR18626). UK right-to-work confirmed manageable by user, stated directly on CV.</t>
        </is>
      </c>
    </row>
    <row r="62" ht="15" customHeight="1" s="21">
      <c r="A62" s="17" t="inlineStr">
        <is>
          <t>Graitec</t>
        </is>
      </c>
      <c r="B62" s="17" t="inlineStr">
        <is>
          <t>AEC Prototyping Engineer</t>
        </is>
      </c>
      <c r="C62" s="17" t="inlineStr">
        <is>
          <t>Paris, FR</t>
        </is>
      </c>
      <c r="D62" s="18" t="inlineStr"/>
      <c r="E62" s="17" t="inlineStr"/>
      <c r="F62" s="17" t="inlineStr">
        <is>
          <t>Company Site</t>
        </is>
      </c>
      <c r="G62" s="17" t="inlineStr"/>
      <c r="H62" s="19" t="n">
        <v>46246</v>
      </c>
      <c r="I62" s="18" t="inlineStr">
        <is>
          <t>Applied</t>
        </is>
      </c>
      <c r="J62" s="18" t="inlineStr"/>
      <c r="K62" s="14">
        <f>IF($H62="","",TODAY()-$H62)</f>
        <v/>
      </c>
      <c r="L62" s="19" t="inlineStr"/>
      <c r="M62" s="17" t="inlineStr"/>
      <c r="N62" s="19" t="inlineStr"/>
      <c r="O62" s="17" t="inlineStr"/>
      <c r="P62" s="17" t="inlineStr"/>
      <c r="Q62" s="17" t="inlineStr">
        <is>
          <t>france/2026_08_12_graitec_aec_prototyping</t>
        </is>
      </c>
      <c r="R62" s="18" t="inlineStr">
        <is>
          <t>High</t>
        </is>
      </c>
      <c r="S62" s="17" t="inlineStr">
        <is>
          <t>Exceptional fit — combines both core specialties (AEC/BIM and AI/agentic systems). BIMGraphExplorer is an almost literal match to the role’s rapid-prototyping/validation cycle. No French requirement listed.</t>
        </is>
      </c>
    </row>
    <row r="63" ht="15" customHeight="1" s="21">
      <c r="A63" s="17" t="inlineStr">
        <is>
          <t>Mott MacDonald</t>
        </is>
      </c>
      <c r="B63" s="17" t="inlineStr">
        <is>
          <t>BIM Engineer (Structural BIM), Energy unit (Job Ref 15395)</t>
        </is>
      </c>
      <c r="C63" s="17" t="inlineStr">
        <is>
          <t>Sofia, BG</t>
        </is>
      </c>
      <c r="D63" s="18" t="inlineStr">
        <is>
          <t>Hybrid</t>
        </is>
      </c>
      <c r="E63" s="17" t="inlineStr"/>
      <c r="F63" s="17" t="inlineStr">
        <is>
          <t>Company Site</t>
        </is>
      </c>
      <c r="G63" s="17" t="inlineStr">
        <is>
          <t>https://career2.successfactors.eu/career?company=MMPROD&amp;lang=en_150&amp;login_ns=register&amp;career_ns=job_application&amp;career_job_req_id=15395&amp;jobPipeline=CareerSite&amp;codes=EXT</t>
        </is>
      </c>
      <c r="H63" s="19" t="n">
        <v>46250</v>
      </c>
      <c r="I63" s="18" t="inlineStr">
        <is>
          <t>Applied</t>
        </is>
      </c>
      <c r="J63" s="18" t="inlineStr"/>
      <c r="K63" s="14">
        <f>IF($H63="","",TODAY()-$H63)</f>
        <v/>
      </c>
      <c r="L63" s="19" t="inlineStr"/>
      <c r="M63" s="17" t="inlineStr"/>
      <c r="N63" s="19" t="inlineStr"/>
      <c r="O63" s="17" t="inlineStr">
        <is>
          <t>Maria Cervantes</t>
        </is>
      </c>
      <c r="P63" s="17" t="inlineStr"/>
      <c r="Q63" s="17" t="inlineStr">
        <is>
          <t>bulgaria/2026_08_16_mott_macdonald_bim_sofia</t>
        </is>
      </c>
      <c r="R63" s="18" t="inlineStr">
        <is>
          <t>Medium</t>
        </is>
      </c>
      <c r="S63" s="17" t="inlineStr">
        <is>
          <t>Structural-engineering degree gap not disclosed per updated default; actual day-to-day tasks (ACC, ISO 19650, clash detection) map very well to real strengths.</t>
        </is>
      </c>
    </row>
    <row r="64" ht="15" customHeight="1" s="21">
      <c r="A64" s="17" t="inlineStr">
        <is>
          <t>AECOM</t>
        </is>
      </c>
      <c r="B64" s="17" t="inlineStr">
        <is>
          <t>BIM &amp; Digital Specialist / Digital Project Delivery Engineer (Req J10154523)</t>
        </is>
      </c>
      <c r="C64" s="17" t="inlineStr">
        <is>
          <t>Madrid, ES</t>
        </is>
      </c>
      <c r="D64" s="18" t="inlineStr">
        <is>
          <t>Hybrid</t>
        </is>
      </c>
      <c r="E64" s="17" t="inlineStr"/>
      <c r="F64" s="17" t="inlineStr">
        <is>
          <t>Company Site</t>
        </is>
      </c>
      <c r="G64" s="17" t="inlineStr"/>
      <c r="H64" s="19" t="n">
        <v>46250</v>
      </c>
      <c r="I64" s="18" t="inlineStr">
        <is>
          <t>Applied</t>
        </is>
      </c>
      <c r="J64" s="18" t="inlineStr"/>
      <c r="K64" s="14">
        <f>IF($H64="","",TODAY()-$H64)</f>
        <v/>
      </c>
      <c r="L64" s="19" t="inlineStr"/>
      <c r="M64" s="17" t="inlineStr"/>
      <c r="N64" s="19" t="inlineStr"/>
      <c r="O64" s="17" t="inlineStr"/>
      <c r="P64" s="17" t="inlineStr"/>
      <c r="Q64" s="17" t="inlineStr">
        <is>
          <t>spain/2026_08_16_aecom_bim_digital_madrid</t>
        </is>
      </c>
      <c r="R64" s="18" t="inlineStr">
        <is>
          <t>Medium</t>
        </is>
      </c>
      <c r="S64" s="17" t="inlineStr">
        <is>
          <t>Good BIM+data/automation fit (similar shape to Graitec). 2-5 years experience and Power Platform/Azure gaps not disclosed per updated default; no Spanish requirement stated, only English.</t>
        </is>
      </c>
    </row>
    <row r="65" ht="15" customHeight="1" s="21">
      <c r="A65" s="11" t="n"/>
      <c r="B65" s="11" t="n"/>
      <c r="C65" s="11" t="n"/>
      <c r="D65" s="12" t="n"/>
      <c r="E65" s="11" t="n"/>
      <c r="F65" s="11" t="n"/>
      <c r="G65" s="11" t="n"/>
      <c r="H65" s="13" t="n"/>
      <c r="I65" s="12" t="n"/>
      <c r="J65" s="12" t="n"/>
      <c r="K65" s="14">
        <f>IF($H65="","",TODAY()-$H65)</f>
        <v/>
      </c>
      <c r="L65" s="13" t="n"/>
      <c r="M65" s="11" t="n"/>
      <c r="N65" s="13" t="n"/>
      <c r="O65" s="11" t="n"/>
      <c r="P65" s="11" t="n"/>
      <c r="Q65" s="11" t="n"/>
      <c r="R65" s="12" t="n"/>
      <c r="S65" s="11" t="n"/>
    </row>
    <row r="66" ht="15" customHeight="1" s="21">
      <c r="A66" s="11" t="n"/>
      <c r="B66" s="11" t="n"/>
      <c r="C66" s="11" t="n"/>
      <c r="D66" s="12" t="n"/>
      <c r="E66" s="11" t="n"/>
      <c r="F66" s="11" t="n"/>
      <c r="G66" s="11" t="n"/>
      <c r="H66" s="13" t="n"/>
      <c r="I66" s="12" t="n"/>
      <c r="J66" s="12" t="n"/>
      <c r="K66" s="14">
        <f>IF($H66="","",TODAY()-$H66)</f>
        <v/>
      </c>
      <c r="L66" s="13" t="n"/>
      <c r="M66" s="11" t="n"/>
      <c r="N66" s="13" t="n"/>
      <c r="O66" s="11" t="n"/>
      <c r="P66" s="11" t="n"/>
      <c r="Q66" s="11" t="n"/>
      <c r="R66" s="12" t="n"/>
      <c r="S66" s="11" t="n"/>
    </row>
    <row r="67" ht="15" customHeight="1" s="21">
      <c r="A67" s="11" t="n"/>
      <c r="B67" s="11" t="n"/>
      <c r="C67" s="11" t="n"/>
      <c r="D67" s="12" t="n"/>
      <c r="E67" s="11" t="n"/>
      <c r="F67" s="11" t="n"/>
      <c r="G67" s="11" t="n"/>
      <c r="H67" s="13" t="n"/>
      <c r="I67" s="12" t="n"/>
      <c r="J67" s="12" t="n"/>
      <c r="K67" s="14">
        <f>IF($H67="","",TODAY()-$H67)</f>
        <v/>
      </c>
      <c r="L67" s="13" t="n"/>
      <c r="M67" s="11" t="n"/>
      <c r="N67" s="13" t="n"/>
      <c r="O67" s="11" t="n"/>
      <c r="P67" s="11" t="n"/>
      <c r="Q67" s="11" t="n"/>
      <c r="R67" s="12" t="n"/>
      <c r="S67" s="11" t="n"/>
    </row>
    <row r="68" ht="15" customHeight="1" s="21">
      <c r="A68" s="11" t="n"/>
      <c r="B68" s="11" t="n"/>
      <c r="C68" s="11" t="n"/>
      <c r="D68" s="12" t="n"/>
      <c r="E68" s="11" t="n"/>
      <c r="F68" s="11" t="n"/>
      <c r="G68" s="11" t="n"/>
      <c r="H68" s="13" t="n"/>
      <c r="I68" s="12" t="n"/>
      <c r="J68" s="12" t="n"/>
      <c r="K68" s="14">
        <f>IF($H68="","",TODAY()-$H68)</f>
        <v/>
      </c>
      <c r="L68" s="13" t="n"/>
      <c r="M68" s="11" t="n"/>
      <c r="N68" s="13" t="n"/>
      <c r="O68" s="11" t="n"/>
      <c r="P68" s="11" t="n"/>
      <c r="Q68" s="11" t="n"/>
      <c r="R68" s="12" t="n"/>
      <c r="S68" s="11" t="n"/>
    </row>
    <row r="69" ht="15" customHeight="1" s="21">
      <c r="A69" s="11" t="n"/>
      <c r="B69" s="11" t="n"/>
      <c r="C69" s="11" t="n"/>
      <c r="D69" s="12" t="n"/>
      <c r="E69" s="11" t="n"/>
      <c r="F69" s="11" t="n"/>
      <c r="G69" s="11" t="n"/>
      <c r="H69" s="13" t="n"/>
      <c r="I69" s="12" t="n"/>
      <c r="J69" s="12" t="n"/>
      <c r="K69" s="14">
        <f>IF($H69="","",TODAY()-$H69)</f>
        <v/>
      </c>
      <c r="L69" s="13" t="n"/>
      <c r="M69" s="11" t="n"/>
      <c r="N69" s="13" t="n"/>
      <c r="O69" s="11" t="n"/>
      <c r="P69" s="11" t="n"/>
      <c r="Q69" s="11" t="n"/>
      <c r="R69" s="12" t="n"/>
      <c r="S69" s="11" t="n"/>
    </row>
    <row r="70" ht="15" customHeight="1" s="21">
      <c r="A70" s="11" t="n"/>
      <c r="B70" s="11" t="n"/>
      <c r="C70" s="11" t="n"/>
      <c r="D70" s="12" t="n"/>
      <c r="E70" s="11" t="n"/>
      <c r="F70" s="11" t="n"/>
      <c r="G70" s="11" t="n"/>
      <c r="H70" s="13" t="n"/>
      <c r="I70" s="12" t="n"/>
      <c r="J70" s="12" t="n"/>
      <c r="K70" s="14">
        <f>IF($H70="","",TODAY()-$H70)</f>
        <v/>
      </c>
      <c r="L70" s="13" t="n"/>
      <c r="M70" s="11" t="n"/>
      <c r="N70" s="13" t="n"/>
      <c r="O70" s="11" t="n"/>
      <c r="P70" s="11" t="n"/>
      <c r="Q70" s="11" t="n"/>
      <c r="R70" s="12" t="n"/>
      <c r="S70" s="11" t="n"/>
    </row>
    <row r="71" ht="15" customHeight="1" s="21">
      <c r="A71" s="11" t="n"/>
      <c r="B71" s="11" t="n"/>
      <c r="C71" s="11" t="n"/>
      <c r="D71" s="12" t="n"/>
      <c r="E71" s="11" t="n"/>
      <c r="F71" s="11" t="n"/>
      <c r="G71" s="11" t="n"/>
      <c r="H71" s="13" t="n"/>
      <c r="I71" s="12" t="n"/>
      <c r="J71" s="12" t="n"/>
      <c r="K71" s="14">
        <f>IF($H71="","",TODAY()-$H71)</f>
        <v/>
      </c>
      <c r="L71" s="13" t="n"/>
      <c r="M71" s="11" t="n"/>
      <c r="N71" s="13" t="n"/>
      <c r="O71" s="11" t="n"/>
      <c r="P71" s="11" t="n"/>
      <c r="Q71" s="11" t="n"/>
      <c r="R71" s="12" t="n"/>
      <c r="S71" s="11" t="n"/>
    </row>
    <row r="72" ht="15" customHeight="1" s="21">
      <c r="A72" s="11" t="n"/>
      <c r="B72" s="11" t="n"/>
      <c r="C72" s="11" t="n"/>
      <c r="D72" s="12" t="n"/>
      <c r="E72" s="11" t="n"/>
      <c r="F72" s="11" t="n"/>
      <c r="G72" s="11" t="n"/>
      <c r="H72" s="13" t="n"/>
      <c r="I72" s="12" t="n"/>
      <c r="J72" s="12" t="n"/>
      <c r="K72" s="14">
        <f>IF($H72="","",TODAY()-$H72)</f>
        <v/>
      </c>
      <c r="L72" s="13" t="n"/>
      <c r="M72" s="11" t="n"/>
      <c r="N72" s="13" t="n"/>
      <c r="O72" s="11" t="n"/>
      <c r="P72" s="11" t="n"/>
      <c r="Q72" s="11" t="n"/>
      <c r="R72" s="12" t="n"/>
      <c r="S72" s="11" t="n"/>
    </row>
    <row r="73" ht="15" customHeight="1" s="21">
      <c r="A73" s="11" t="n"/>
      <c r="B73" s="11" t="n"/>
      <c r="C73" s="11" t="n"/>
      <c r="D73" s="12" t="n"/>
      <c r="E73" s="11" t="n"/>
      <c r="F73" s="11" t="n"/>
      <c r="G73" s="11" t="n"/>
      <c r="H73" s="13" t="n"/>
      <c r="I73" s="12" t="n"/>
      <c r="J73" s="12" t="n"/>
      <c r="K73" s="14">
        <f>IF($H73="","",TODAY()-$H73)</f>
        <v/>
      </c>
      <c r="L73" s="13" t="n"/>
      <c r="M73" s="11" t="n"/>
      <c r="N73" s="13" t="n"/>
      <c r="O73" s="11" t="n"/>
      <c r="P73" s="11" t="n"/>
      <c r="Q73" s="11" t="n"/>
      <c r="R73" s="12" t="n"/>
      <c r="S73" s="11" t="n"/>
    </row>
    <row r="74" ht="15" customHeight="1" s="21">
      <c r="A74" s="11" t="n"/>
      <c r="B74" s="11" t="n"/>
      <c r="C74" s="11" t="n"/>
      <c r="D74" s="12" t="n"/>
      <c r="E74" s="11" t="n"/>
      <c r="F74" s="11" t="n"/>
      <c r="G74" s="11" t="n"/>
      <c r="H74" s="13" t="n"/>
      <c r="I74" s="12" t="n"/>
      <c r="J74" s="12" t="n"/>
      <c r="K74" s="14">
        <f>IF($H74="","",TODAY()-$H74)</f>
        <v/>
      </c>
      <c r="L74" s="13" t="n"/>
      <c r="M74" s="11" t="n"/>
      <c r="N74" s="13" t="n"/>
      <c r="O74" s="11" t="n"/>
      <c r="P74" s="11" t="n"/>
      <c r="Q74" s="11" t="n"/>
      <c r="R74" s="12" t="n"/>
      <c r="S74" s="11" t="n"/>
    </row>
    <row r="75" ht="15" customHeight="1" s="21">
      <c r="A75" s="11" t="n"/>
      <c r="B75" s="11" t="n"/>
      <c r="C75" s="11" t="n"/>
      <c r="D75" s="12" t="n"/>
      <c r="E75" s="11" t="n"/>
      <c r="F75" s="11" t="n"/>
      <c r="G75" s="11" t="n"/>
      <c r="H75" s="13" t="n"/>
      <c r="I75" s="12" t="n"/>
      <c r="J75" s="12" t="n"/>
      <c r="K75" s="14">
        <f>IF($H75="","",TODAY()-$H75)</f>
        <v/>
      </c>
      <c r="L75" s="13" t="n"/>
      <c r="M75" s="11" t="n"/>
      <c r="N75" s="13" t="n"/>
      <c r="O75" s="11" t="n"/>
      <c r="P75" s="11" t="n"/>
      <c r="Q75" s="11" t="n"/>
      <c r="R75" s="12" t="n"/>
      <c r="S75" s="11" t="n"/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2026-08-15T23:04:39Z</dcterms:modified>
  <cp:lastModifiedBy>HARIS WAHEED BHATTI</cp:lastModifiedBy>
  <cp:revision>0</cp:revision>
</cp:coreProperties>
</file>