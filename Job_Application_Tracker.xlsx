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7" t="inlineStr">
        <is>
          <t>Arup</t>
        </is>
      </c>
      <c r="B29" s="17" t="inlineStr">
        <is>
          <t>Open Application – Project Management, Technology / Data Centers, Job AMS000092</t>
        </is>
      </c>
      <c r="C29" s="17" t="inlineStr">
        <is>
          <t>Amsterdam, NL</t>
        </is>
      </c>
      <c r="D29" s="18" t="inlineStr"/>
      <c r="E29" s="17" t="inlineStr"/>
      <c r="F29" s="17" t="inlineStr">
        <is>
          <t>Company Site</t>
        </is>
      </c>
      <c r="G29" s="17" t="inlineStr">
        <is>
          <t>https://jobs.arup.com/jobs/33870/other-jobs-matching/location-only</t>
        </is>
      </c>
      <c r="H29" s="19" t="n">
        <v>46238</v>
      </c>
      <c r="I29" s="18" t="inlineStr">
        <is>
          <t>Applied</t>
        </is>
      </c>
      <c r="J29" s="18" t="inlineStr"/>
      <c r="K29" s="14">
        <f>IF($H29="","",TODAY()-$H29)</f>
        <v/>
      </c>
      <c r="L29" s="19" t="inlineStr"/>
      <c r="M29" s="17" t="inlineStr"/>
      <c r="N29" s="19" t="inlineStr"/>
      <c r="O29" s="17" t="inlineStr"/>
      <c r="P29" s="17" t="inlineStr"/>
      <c r="Q29" s="17" t="inlineStr">
        <is>
          <t>netherlands/2026_08_04_arup_amsterdam_tech_datacenters_pm</t>
        </is>
      </c>
      <c r="R29" s="18" t="inlineStr">
        <is>
          <t>Medium</t>
        </is>
      </c>
      <c r="S29" s="17" t="inlineStr">
        <is>
          <t>Third Arup Amsterdam open application (open solicitation, not a live vacancy), junior-friendly. Real gap: fluent Dutch required, candidate has none — not disclosed per updated default.</t>
        </is>
      </c>
    </row>
    <row r="30" ht="15" customHeight="1" s="21">
      <c r="A30" s="17" t="inlineStr">
        <is>
          <t>Sweco</t>
        </is>
      </c>
      <c r="B30" s="17" t="inlineStr">
        <is>
          <t>Junior Building Physics Consultant – Fire, Environment &amp; Building Physics</t>
        </is>
      </c>
      <c r="C30" s="17" t="inlineStr">
        <is>
          <t>Netherlands</t>
        </is>
      </c>
      <c r="D30" s="18" t="inlineStr">
        <is>
          <t>Hybrid</t>
        </is>
      </c>
      <c r="E30" s="17" t="inlineStr"/>
      <c r="F30" s="17" t="inlineStr">
        <is>
          <t>Company Site</t>
        </is>
      </c>
      <c r="G30" s="17" t="inlineStr">
        <is>
          <t>https://www.sweco.nl/solliciteren/?vacancy=66955</t>
        </is>
      </c>
      <c r="H30" s="19" t="n">
        <v>46238</v>
      </c>
      <c r="I30" s="18" t="inlineStr">
        <is>
          <t>Applied</t>
        </is>
      </c>
      <c r="J30" s="18" t="inlineStr"/>
      <c r="K30" s="14">
        <f>IF($H30="","",TODAY()-$H30)</f>
        <v/>
      </c>
      <c r="L30" s="19" t="inlineStr"/>
      <c r="M30" s="17" t="inlineStr"/>
      <c r="N30" s="19" t="inlineStr"/>
      <c r="O30" s="17" t="inlineStr">
        <is>
          <t>Bas Peeters</t>
        </is>
      </c>
      <c r="P30" s="17" t="inlineStr">
        <is>
          <t>bas.peeters@sweco.nl</t>
        </is>
      </c>
      <c r="Q30" s="17" t="inlineStr">
        <is>
          <t>netherlands/2026_08_04_sweco_bas_peeters</t>
        </is>
      </c>
      <c r="R30" s="18" t="inlineStr">
        <is>
          <t>Low</t>
        </is>
      </c>
      <c r="S30" s="17" t="inlineStr">
        <is>
          <t>Real domain mismatch — no daylight/energy/acoustics/fire-safety background at all (different specialization than BIM). Fluent Dutch also required. Applied anyway per explicit user instruction; leans on energy-management coursework + adaptability, gaps not disclosed.</t>
        </is>
      </c>
    </row>
    <row r="31" ht="15" customHeight="1" s="21">
      <c r="A31" s="17" t="inlineStr">
        <is>
          <t>Sweco</t>
        </is>
      </c>
      <c r="B31" s="17" t="inlineStr">
        <is>
          <t>Junior Fire Safety Advisor – Fire, Environment &amp; Building Physics</t>
        </is>
      </c>
      <c r="C31" s="17" t="inlineStr">
        <is>
          <t>Venlo/Eindhoven, NL</t>
        </is>
      </c>
      <c r="D31" s="18" t="inlineStr">
        <is>
          <t>Hybrid</t>
        </is>
      </c>
      <c r="E31" s="17" t="inlineStr">
        <is>
          <t>EUR 3,442-4,100/month</t>
        </is>
      </c>
      <c r="F31" s="17" t="inlineStr">
        <is>
          <t>Company Site</t>
        </is>
      </c>
      <c r="G31" s="17" t="inlineStr">
        <is>
          <t>https://www.sweco.nl/solliciteren/?vacancy=66956</t>
        </is>
      </c>
      <c r="H31" s="19" t="n">
        <v>46238</v>
      </c>
      <c r="I31" s="18" t="inlineStr">
        <is>
          <t>Applied</t>
        </is>
      </c>
      <c r="J31" s="18" t="inlineStr"/>
      <c r="K31" s="14">
        <f>IF($H31="","",TODAY()-$H31)</f>
        <v/>
      </c>
      <c r="L31" s="19" t="inlineStr"/>
      <c r="M31" s="17" t="inlineStr"/>
      <c r="N31" s="19" t="inlineStr"/>
      <c r="O31" s="17" t="inlineStr">
        <is>
          <t>Bas Peeters</t>
        </is>
      </c>
      <c r="P31" s="17" t="inlineStr">
        <is>
          <t>bas.peeters@sweco.nl</t>
        </is>
      </c>
      <c r="Q31" s="17" t="inlineStr">
        <is>
          <t>netherlands/2026_08_04_sweco_fire_safety_peeters</t>
        </is>
      </c>
      <c r="R31" s="18" t="inlineStr">
        <is>
          <t>Low</t>
        </is>
      </c>
      <c r="S31" s="17" t="inlineStr">
        <is>
          <t>Same team/manager as the Building Physics Consultant posting; real domain gap (no fire-safety background) plus fluent Dutch required. Applied anyway per established preference for this team; gaps not disclosed.</t>
        </is>
      </c>
    </row>
    <row r="32" ht="15" customHeight="1" s="21">
      <c r="A32" s="17" t="inlineStr">
        <is>
          <t>Sweco</t>
        </is>
      </c>
      <c r="B32" s="17" t="inlineStr">
        <is>
          <t>Junior Advisor Cultural Engineering – Environmental and Cultural Engineering Research</t>
        </is>
      </c>
      <c r="C32" s="17" t="inlineStr">
        <is>
          <t>Eindhoven, NL</t>
        </is>
      </c>
      <c r="D32" s="18" t="inlineStr">
        <is>
          <t>Hybrid</t>
        </is>
      </c>
      <c r="E32" s="17" t="inlineStr">
        <is>
          <t>EUR 3,442-4,000/month</t>
        </is>
      </c>
      <c r="F32" s="17" t="inlineStr">
        <is>
          <t>Company Site</t>
        </is>
      </c>
      <c r="G32" s="17" t="inlineStr">
        <is>
          <t>https://www.sweco.nl/solliciteren/?vacancy=66857</t>
        </is>
      </c>
      <c r="H32" s="19" t="n">
        <v>46238</v>
      </c>
      <c r="I32" s="18" t="inlineStr">
        <is>
          <t>Applied</t>
        </is>
      </c>
      <c r="J32" s="18" t="inlineStr"/>
      <c r="K32" s="14">
        <f>IF($H32="","",TODAY()-$H32)</f>
        <v/>
      </c>
      <c r="L32" s="19" t="inlineStr"/>
      <c r="M32" s="17" t="inlineStr"/>
      <c r="N32" s="19" t="inlineStr"/>
      <c r="O32" s="17" t="inlineStr">
        <is>
          <t>Jules Rutten</t>
        </is>
      </c>
      <c r="P32" s="17" t="inlineStr">
        <is>
          <t>jules.rutten@sweco.nl</t>
        </is>
      </c>
      <c r="Q32" s="17" t="inlineStr">
        <is>
          <t>netherlands/2026_08_04_sweco_jules_rutten</t>
        </is>
      </c>
      <c r="R32" s="18" t="inlineStr">
        <is>
          <t>Medium</t>
        </is>
      </c>
      <c r="S32" s="17" t="inlineStr">
        <is>
          <t>Genuine domain fit via real hydrology/water-resources coursework (AutoCAD, HEC-HMS, HEC-RAS) — better fit than the Building Physics/Fire Safety Sweco roles. Dutch C1 required, not disclosed per updated default.</t>
        </is>
      </c>
    </row>
    <row r="33" ht="15" customHeight="1" s="21">
      <c r="A33" s="17" t="inlineStr">
        <is>
          <t>Sweco</t>
        </is>
      </c>
      <c r="B33" s="17" t="inlineStr">
        <is>
          <t>(Junior) Architectural BIM Engineer – Logistics and Business Accommodation</t>
        </is>
      </c>
      <c r="C33" s="17" t="inlineStr">
        <is>
          <t>De Bilt/Eindhoven/The Hague, NL</t>
        </is>
      </c>
      <c r="D33" s="18" t="inlineStr">
        <is>
          <t>Hybrid</t>
        </is>
      </c>
      <c r="E33" s="17" t="inlineStr">
        <is>
          <t>EUR 3,750-4,250/month</t>
        </is>
      </c>
      <c r="F33" s="17" t="inlineStr">
        <is>
          <t>Company Site</t>
        </is>
      </c>
      <c r="G33" s="17" t="inlineStr">
        <is>
          <t>https://www.sweco.nl/solliciteren/?vacancy=66747</t>
        </is>
      </c>
      <c r="H33" s="19" t="n">
        <v>46238</v>
      </c>
      <c r="I33" s="18" t="inlineStr">
        <is>
          <t>Applied</t>
        </is>
      </c>
      <c r="J33" s="18" t="inlineStr"/>
      <c r="K33" s="14">
        <f>IF($H33="","",TODAY()-$H33)</f>
        <v/>
      </c>
      <c r="L33" s="19" t="inlineStr"/>
      <c r="M33" s="17" t="inlineStr"/>
      <c r="N33" s="19" t="inlineStr"/>
      <c r="O33" s="17" t="inlineStr">
        <is>
          <t>Eric Thoma</t>
        </is>
      </c>
      <c r="P33" s="17" t="inlineStr"/>
      <c r="Q33" s="17" t="inlineStr">
        <is>
          <t>netherlands/2026_08_04_sweco_eric_thoma</t>
        </is>
      </c>
      <c r="R33" s="18" t="inlineStr">
        <is>
          <t>High</t>
        </is>
      </c>
      <c r="S33" s="17" t="inlineStr">
        <is>
          <t>Strong direct BIM match — Revit + multidisciplinary coordination maps closely onto the Guimarães project. Real gaps: 2 years experience, fluent Dutch — not disclosed per updated default.</t>
        </is>
      </c>
    </row>
    <row r="34" ht="15" customHeight="1" s="21">
      <c r="A34" s="17" t="inlineStr">
        <is>
          <t>Sweco</t>
        </is>
      </c>
      <c r="B34" s="17" t="inlineStr">
        <is>
          <t>(Junior) Urban Planning Advisor – Urban Projects South (Spatial Development)</t>
        </is>
      </c>
      <c r="C34" s="17" t="inlineStr">
        <is>
          <t>Kapelle/Middelburg, NL</t>
        </is>
      </c>
      <c r="D34" s="18" t="inlineStr">
        <is>
          <t>Hybrid</t>
        </is>
      </c>
      <c r="E34" s="17" t="inlineStr">
        <is>
          <t>EUR 3,600-4,300/month</t>
        </is>
      </c>
      <c r="F34" s="17" t="inlineStr">
        <is>
          <t>Company Site</t>
        </is>
      </c>
      <c r="G34" s="17" t="inlineStr">
        <is>
          <t>https://www.sweco.nl/solliciteren/?vacancy=66743</t>
        </is>
      </c>
      <c r="H34" s="19" t="n">
        <v>46238</v>
      </c>
      <c r="I34" s="18" t="inlineStr">
        <is>
          <t>Applied</t>
        </is>
      </c>
      <c r="J34" s="18" t="inlineStr"/>
      <c r="K34" s="14">
        <f>IF($H34="","",TODAY()-$H34)</f>
        <v/>
      </c>
      <c r="L34" s="19" t="inlineStr"/>
      <c r="M34" s="17" t="inlineStr"/>
      <c r="N34" s="19" t="inlineStr"/>
      <c r="O34" s="17" t="inlineStr">
        <is>
          <t>Marik Waterman</t>
        </is>
      </c>
      <c r="P34" s="17" t="inlineStr">
        <is>
          <t>marik.waterman@sweco.nl</t>
        </is>
      </c>
      <c r="Q34" s="17" t="inlineStr">
        <is>
          <t>netherlands/2026_08_04_sweco_marik_waterman</t>
        </is>
      </c>
      <c r="R34" s="18" t="inlineStr">
        <is>
          <t>Medium</t>
        </is>
      </c>
      <c r="S34" s="17" t="inlineStr">
        <is>
          <t>Surfaced real urban planning coursework (previously untracked). Explicit ask for digitalization/AI experience is a genuine strength. No Dutch requirement listed. 2 years experience gap not disclosed per updated default.</t>
        </is>
      </c>
    </row>
    <row r="35" ht="15" customHeight="1" s="21">
      <c r="A35" s="17" t="inlineStr">
        <is>
          <t>Sweco</t>
        </is>
      </c>
      <c r="B35" s="17" t="inlineStr">
        <is>
          <t>(Junior) Transport Pipeline Engineer – Water</t>
        </is>
      </c>
      <c r="C35" s="17" t="inlineStr">
        <is>
          <t>De Bilt, NL</t>
        </is>
      </c>
      <c r="D35" s="18" t="inlineStr">
        <is>
          <t>Hybrid</t>
        </is>
      </c>
      <c r="E35" s="17" t="inlineStr">
        <is>
          <t>EUR 3,600-4,300/month</t>
        </is>
      </c>
      <c r="F35" s="17" t="inlineStr">
        <is>
          <t>Company Site</t>
        </is>
      </c>
      <c r="G35" s="17" t="inlineStr">
        <is>
          <t>https://www.sweco.nl/solliciteren/?vacancy=66744</t>
        </is>
      </c>
      <c r="H35" s="19" t="n">
        <v>46238</v>
      </c>
      <c r="I35" s="18" t="inlineStr">
        <is>
          <t>Applied</t>
        </is>
      </c>
      <c r="J35" s="18" t="inlineStr"/>
      <c r="K35" s="14">
        <f>IF($H35="","",TODAY()-$H35)</f>
        <v/>
      </c>
      <c r="L35" s="19" t="inlineStr"/>
      <c r="M35" s="17" t="inlineStr"/>
      <c r="N35" s="19" t="inlineStr"/>
      <c r="O35" s="17" t="inlineStr">
        <is>
          <t>John Driessen</t>
        </is>
      </c>
      <c r="P35" s="17" t="inlineStr">
        <is>
          <t>john.driessen@sweco.nl</t>
        </is>
      </c>
      <c r="Q35" s="17" t="inlineStr">
        <is>
          <t>netherlands/2026_08_04_sweco_john_driessen</t>
        </is>
      </c>
      <c r="R35" s="18" t="inlineStr">
        <is>
          <t>Medium</t>
        </is>
      </c>
      <c r="S35" s="17" t="inlineStr">
        <is>
          <t>Genuine domain fit via real AutoCAD/ArcGIS/hydrology coursework, matching the posting’s explicit software asks. 1-3 years experience and Dutch C1 gaps not disclosed per updated default.</t>
        </is>
      </c>
    </row>
    <row r="36" ht="15" customHeight="1" s="21">
      <c r="A36" s="17" t="inlineStr">
        <is>
          <t>Sweco</t>
        </is>
      </c>
      <c r="B36" s="17" t="inlineStr">
        <is>
          <t>Junior Construction Project Manager – Logistics and Business Accommodation</t>
        </is>
      </c>
      <c r="C36" s="17" t="inlineStr">
        <is>
          <t>De Bilt/Amsterdam, NL</t>
        </is>
      </c>
      <c r="D36" s="18" t="inlineStr">
        <is>
          <t>Hybrid</t>
        </is>
      </c>
      <c r="E36" s="17" t="inlineStr">
        <is>
          <t>EUR 3,500-4,500/month</t>
        </is>
      </c>
      <c r="F36" s="17" t="inlineStr">
        <is>
          <t>Company Site</t>
        </is>
      </c>
      <c r="G36" s="17" t="inlineStr">
        <is>
          <t>https://www.sweco.nl/solliciteren/?vacancy=66706</t>
        </is>
      </c>
      <c r="H36" s="19" t="n">
        <v>46238</v>
      </c>
      <c r="I36" s="18" t="inlineStr">
        <is>
          <t>Applied</t>
        </is>
      </c>
      <c r="J36" s="18" t="inlineStr"/>
      <c r="K36" s="14">
        <f>IF($H36="","",TODAY()-$H36)</f>
        <v/>
      </c>
      <c r="L36" s="19" t="inlineStr"/>
      <c r="M36" s="17" t="inlineStr"/>
      <c r="N36" s="19" t="inlineStr"/>
      <c r="O36" s="17" t="inlineStr"/>
      <c r="P36" s="17" t="inlineStr">
        <is>
          <t>lindsay.vanheugten@sweco.nl</t>
        </is>
      </c>
      <c r="Q36" s="17" t="inlineStr">
        <is>
          <t>netherlands/2026_08_04_sweco_pm_logistics_thoma</t>
        </is>
      </c>
      <c r="R36" s="18" t="inlineStr">
        <is>
          <t>Medium</t>
        </is>
      </c>
      <c r="S36" s="17" t="inlineStr">
        <is>
          <t>Same team as the Architectural BIM Engineer application (Eric Thoma). 1-3 years experience and Dutch fluency gaps not disclosed per updated default.</t>
        </is>
      </c>
    </row>
    <row r="37" ht="15" customHeight="1" s="21">
      <c r="A37" s="17" t="inlineStr">
        <is>
          <t>Sweco</t>
        </is>
      </c>
      <c r="B37" s="17" t="inlineStr">
        <is>
          <t>Junior Contract Management Advisor – Urban Projects</t>
        </is>
      </c>
      <c r="C37" s="17" t="inlineStr">
        <is>
          <t>Rotterdam, NL</t>
        </is>
      </c>
      <c r="D37" s="18" t="inlineStr">
        <is>
          <t>Hybrid</t>
        </is>
      </c>
      <c r="E37" s="17" t="inlineStr">
        <is>
          <t>EUR 3,442-4,100/month</t>
        </is>
      </c>
      <c r="F37" s="17" t="inlineStr">
        <is>
          <t>Company Site</t>
        </is>
      </c>
      <c r="G37" s="17" t="inlineStr">
        <is>
          <t>https://www.sweco.nl/solliciteren/?vacancy=66683</t>
        </is>
      </c>
      <c r="H37" s="19" t="n">
        <v>46238</v>
      </c>
      <c r="I37" s="18" t="inlineStr">
        <is>
          <t>Applied</t>
        </is>
      </c>
      <c r="J37" s="18" t="inlineStr"/>
      <c r="K37" s="14">
        <f>IF($H37="","",TODAY()-$H37)</f>
        <v/>
      </c>
      <c r="L37" s="19" t="inlineStr"/>
      <c r="M37" s="17" t="inlineStr"/>
      <c r="N37" s="19" t="inlineStr"/>
      <c r="O37" s="17" t="inlineStr">
        <is>
          <t>Edyta Wisniewska</t>
        </is>
      </c>
      <c r="P37" s="17" t="inlineStr">
        <is>
          <t>edyta.wisniewska@sweco.nl</t>
        </is>
      </c>
      <c r="Q37" s="17" t="inlineStr">
        <is>
          <t>netherlands/2026_08_04_sweco_edyta_wisniewska</t>
        </is>
      </c>
      <c r="R37" s="18" t="inlineStr">
        <is>
          <t>High</t>
        </is>
      </c>
      <c r="S37" s="17" t="inlineStr">
        <is>
          <t>Strong match — graduate-entry framing, no Dutch requirement listed, and the FIDIC contract-review internship maps directly onto the role.</t>
        </is>
      </c>
    </row>
    <row r="38" ht="15" customHeight="1" s="21">
      <c r="A38" s="17" t="inlineStr">
        <is>
          <t>Sweco</t>
        </is>
      </c>
      <c r="B38" s="17" t="inlineStr">
        <is>
          <t>(Junior) Project Manager – Volantis</t>
        </is>
      </c>
      <c r="C38" s="17" t="inlineStr">
        <is>
          <t>Venlo/Eindhoven, NL</t>
        </is>
      </c>
      <c r="D38" s="18" t="inlineStr">
        <is>
          <t>Hybrid</t>
        </is>
      </c>
      <c r="E38" s="17" t="inlineStr"/>
      <c r="F38" s="17" t="inlineStr">
        <is>
          <t>Company Site</t>
        </is>
      </c>
      <c r="G38" s="17" t="inlineStr">
        <is>
          <t>https://www.sweco.nl/solliciteren/?vacancy=66682</t>
        </is>
      </c>
      <c r="H38" s="19" t="n">
        <v>46238</v>
      </c>
      <c r="I38" s="18" t="inlineStr">
        <is>
          <t>Applied</t>
        </is>
      </c>
      <c r="J38" s="18" t="inlineStr"/>
      <c r="K38" s="14">
        <f>IF($H38="","",TODAY()-$H38)</f>
        <v/>
      </c>
      <c r="L38" s="19" t="inlineStr"/>
      <c r="M38" s="17" t="inlineStr"/>
      <c r="N38" s="19" t="inlineStr"/>
      <c r="O38" s="17" t="inlineStr">
        <is>
          <t>Pim Uiting</t>
        </is>
      </c>
      <c r="P38" s="17" t="inlineStr">
        <is>
          <t>pim.uiting@sweco.nl</t>
        </is>
      </c>
      <c r="Q38" s="17" t="inlineStr">
        <is>
          <t>netherlands/2026_08_04_sweco_volantis_pim_uiting</t>
        </is>
      </c>
      <c r="R38" s="18" t="inlineStr">
        <is>
          <t>Medium</t>
        </is>
      </c>
      <c r="S38" s="17" t="inlineStr">
        <is>
          <t>Graduate-friendly ("starters also welcome"). Fluent Dutch and English required, not disclosed per updated default.</t>
        </is>
      </c>
    </row>
    <row r="39" ht="15" customHeight="1" s="21">
      <c r="A39" s="17" t="inlineStr">
        <is>
          <t>Sweco</t>
        </is>
      </c>
      <c r="B39" s="17" t="inlineStr">
        <is>
          <t>Junior Soil Consultant – Environmental Consultancy</t>
        </is>
      </c>
      <c r="C39" s="17" t="inlineStr">
        <is>
          <t>Groningen, NL</t>
        </is>
      </c>
      <c r="D39" s="18" t="inlineStr">
        <is>
          <t>Hybrid</t>
        </is>
      </c>
      <c r="E39" s="17" t="inlineStr">
        <is>
          <t>EUR 3,442-4,100/month</t>
        </is>
      </c>
      <c r="F39" s="17" t="inlineStr">
        <is>
          <t>Company Site</t>
        </is>
      </c>
      <c r="G39" s="17" t="inlineStr">
        <is>
          <t>https://www.sweco.nl/solliciteren/?vacancy=66601</t>
        </is>
      </c>
      <c r="H39" s="19" t="n">
        <v>46238</v>
      </c>
      <c r="I39" s="18" t="inlineStr">
        <is>
          <t>Applied</t>
        </is>
      </c>
      <c r="J39" s="18" t="inlineStr"/>
      <c r="K39" s="14">
        <f>IF($H39="","",TODAY()-$H39)</f>
        <v/>
      </c>
      <c r="L39" s="19" t="inlineStr"/>
      <c r="M39" s="17" t="inlineStr"/>
      <c r="N39" s="19" t="inlineStr"/>
      <c r="O39" s="17" t="inlineStr">
        <is>
          <t>Mariska Moyaert</t>
        </is>
      </c>
      <c r="P39" s="17" t="inlineStr">
        <is>
          <t>mariska.moyaert@sweco.nl</t>
        </is>
      </c>
      <c r="Q39" s="17" t="inlineStr">
        <is>
          <t>netherlands/2026_08_04_sweco_mariska_moyaert</t>
        </is>
      </c>
      <c r="R39" s="18" t="inlineStr">
        <is>
          <t>Medium</t>
        </is>
      </c>
      <c r="S39" s="17" t="inlineStr">
        <is>
          <t>Domain-adjacent fit via real hydrology/water-resources/GIS coursework. Recent graduates explicitly welcomed. Dutch gap not disclosed per updated default.</t>
        </is>
      </c>
    </row>
    <row r="40" ht="15" customHeight="1" s="21">
      <c r="A40" s="17" t="inlineStr">
        <is>
          <t>Sweco</t>
        </is>
      </c>
      <c r="B40" s="17" t="inlineStr">
        <is>
          <t>Junior Fire Safety Advisor – Fire Safety &amp; Simulations</t>
        </is>
      </c>
      <c r="C40" s="17" t="inlineStr">
        <is>
          <t>Amsterdam/Venlo/De Bilt/Rotterdam/Eindhoven, NL</t>
        </is>
      </c>
      <c r="D40" s="18" t="inlineStr">
        <is>
          <t>Hybrid</t>
        </is>
      </c>
      <c r="E40" s="17" t="inlineStr">
        <is>
          <t>EUR 3,442-4,000/month</t>
        </is>
      </c>
      <c r="F40" s="17" t="inlineStr">
        <is>
          <t>Company Site</t>
        </is>
      </c>
      <c r="G40" s="17" t="inlineStr">
        <is>
          <t>https://www.sweco.nl/solliciteren/?vacancy=66548</t>
        </is>
      </c>
      <c r="H40" s="19" t="n">
        <v>46238</v>
      </c>
      <c r="I40" s="18" t="inlineStr">
        <is>
          <t>Applied</t>
        </is>
      </c>
      <c r="J40" s="18" t="inlineStr"/>
      <c r="K40" s="14">
        <f>IF($H40="","",TODAY()-$H40)</f>
        <v/>
      </c>
      <c r="L40" s="19" t="inlineStr"/>
      <c r="M40" s="17" t="inlineStr"/>
      <c r="N40" s="19" t="inlineStr"/>
      <c r="O40" s="17" t="inlineStr">
        <is>
          <t>Bart de Vries</t>
        </is>
      </c>
      <c r="P40" s="17" t="inlineStr">
        <is>
          <t>bart.devries@sweco.nl</t>
        </is>
      </c>
      <c r="Q40" s="17" t="inlineStr">
        <is>
          <t>netherlands/2026_08_04_sweco_bart_de_vries</t>
        </is>
      </c>
      <c r="R40" s="18" t="inlineStr">
        <is>
          <t>Low</t>
        </is>
      </c>
      <c r="S40" s="17" t="inlineStr">
        <is>
          <t>Same domain gap as the earlier Peeters Fire Safety application (different team: Fire Safety &amp; Simulations). No fire-safety/CFD background. Dutch B2 minimum not disclosed per updated default.</t>
        </is>
      </c>
    </row>
    <row r="41" ht="15" customHeight="1" s="21">
      <c r="A41" s="17" t="inlineStr">
        <is>
          <t>Sweco</t>
        </is>
      </c>
      <c r="B41" s="17" t="inlineStr">
        <is>
          <t>Junior Contract Writer Consultant – Civil Engineering (Northern Netherlands)</t>
        </is>
      </c>
      <c r="C41" s="17" t="inlineStr">
        <is>
          <t>Groningen/Leeuwarden, NL</t>
        </is>
      </c>
      <c r="D41" s="18" t="inlineStr">
        <is>
          <t>Hybrid</t>
        </is>
      </c>
      <c r="E41" s="17" t="inlineStr">
        <is>
          <t>EUR 3,442-4,100/month</t>
        </is>
      </c>
      <c r="F41" s="17" t="inlineStr">
        <is>
          <t>Company Site</t>
        </is>
      </c>
      <c r="G41" s="17" t="inlineStr">
        <is>
          <t>https://www.sweco.nl/solliciteren/?vacancy=65625</t>
        </is>
      </c>
      <c r="H41" s="19" t="n">
        <v>46238</v>
      </c>
      <c r="I41" s="18" t="inlineStr">
        <is>
          <t>Applied</t>
        </is>
      </c>
      <c r="J41" s="18" t="inlineStr"/>
      <c r="K41" s="14">
        <f>IF($H41="","",TODAY()-$H41)</f>
        <v/>
      </c>
      <c r="L41" s="19" t="inlineStr"/>
      <c r="M41" s="17" t="inlineStr"/>
      <c r="N41" s="19" t="inlineStr"/>
      <c r="O41" s="17" t="inlineStr">
        <is>
          <t>Annemarie Rook / Kees van der Molen</t>
        </is>
      </c>
      <c r="P41" s="17" t="inlineStr">
        <is>
          <t>annemarie.rook@sweco.nl</t>
        </is>
      </c>
      <c r="Q41" s="17" t="inlineStr">
        <is>
          <t>netherlands/2026_08_04_sweco_contract_writer_groningen</t>
        </is>
      </c>
      <c r="R41" s="18" t="inlineStr">
        <is>
          <t>High</t>
        </is>
      </c>
      <c r="S41" s="17" t="inlineStr">
        <is>
          <t>Strong match — explicit digitalization/AI requirement is a genuine strength, plus the FIDIC contract-review internship. No Dutch requirement listed.</t>
        </is>
      </c>
    </row>
    <row r="42" ht="15" customHeight="1" s="21">
      <c r="A42" s="17" t="inlineStr">
        <is>
          <t>Sweco</t>
        </is>
      </c>
      <c r="B42" s="17" t="inlineStr">
        <is>
          <t>Junior Civil Engineering Project Manager – Urban Projects</t>
        </is>
      </c>
      <c r="C42" s="17" t="inlineStr">
        <is>
          <t>De Bilt, NL</t>
        </is>
      </c>
      <c r="D42" s="18" t="inlineStr">
        <is>
          <t>Hybrid</t>
        </is>
      </c>
      <c r="E42" s="17" t="inlineStr">
        <is>
          <t>EUR 3,442-4,000/month</t>
        </is>
      </c>
      <c r="F42" s="17" t="inlineStr">
        <is>
          <t>Company Site</t>
        </is>
      </c>
      <c r="G42" s="17" t="inlineStr">
        <is>
          <t>https://www.sweco.nl/solliciteren/?vacancy=65797</t>
        </is>
      </c>
      <c r="H42" s="19" t="n">
        <v>46238</v>
      </c>
      <c r="I42" s="18" t="inlineStr">
        <is>
          <t>Applied</t>
        </is>
      </c>
      <c r="J42" s="18" t="inlineStr"/>
      <c r="K42" s="14">
        <f>IF($H42="","",TODAY()-$H42)</f>
        <v/>
      </c>
      <c r="L42" s="19" t="inlineStr"/>
      <c r="M42" s="17" t="inlineStr"/>
      <c r="N42" s="19" t="inlineStr"/>
      <c r="O42" s="17" t="inlineStr">
        <is>
          <t>Bart Witte</t>
        </is>
      </c>
      <c r="P42" s="17" t="inlineStr">
        <is>
          <t>bart.witte@sweco.nl</t>
        </is>
      </c>
      <c r="Q42" s="17" t="inlineStr">
        <is>
          <t>netherlands/2026_08_04_sweco_pm_urban_projects_witte</t>
        </is>
      </c>
      <c r="R42" s="18" t="inlineStr">
        <is>
          <t>Medium</t>
        </is>
      </c>
      <c r="S42" s="17" t="inlineStr">
        <is>
          <t>Second application involving Bart Witte as contact (previously Junior BIM Modeller Alkmaar). Fluent Dutch required, not disclosed per updated default.</t>
        </is>
      </c>
    </row>
    <row r="43" ht="15" customHeight="1" s="21">
      <c r="A43" s="17" t="inlineStr">
        <is>
          <t>Sweco</t>
        </is>
      </c>
      <c r="B43" s="17" t="inlineStr">
        <is>
          <t>Junior Road Engineering Consultant – Living Environment</t>
        </is>
      </c>
      <c r="C43" s="17" t="inlineStr">
        <is>
          <t>Alkmaar, NL</t>
        </is>
      </c>
      <c r="D43" s="18" t="inlineStr">
        <is>
          <t>Hybrid</t>
        </is>
      </c>
      <c r="E43" s="17" t="inlineStr">
        <is>
          <t>EUR 3,442-4,000/month</t>
        </is>
      </c>
      <c r="F43" s="17" t="inlineStr">
        <is>
          <t>Company Site</t>
        </is>
      </c>
      <c r="G43" s="17" t="inlineStr">
        <is>
          <t>https://www.sweco.nl/solliciteren/?vacancy=64592</t>
        </is>
      </c>
      <c r="H43" s="19" t="n">
        <v>46238</v>
      </c>
      <c r="I43" s="18" t="inlineStr">
        <is>
          <t>Applied</t>
        </is>
      </c>
      <c r="J43" s="18" t="inlineStr"/>
      <c r="K43" s="14">
        <f>IF($H43="","",TODAY()-$H43)</f>
        <v/>
      </c>
      <c r="L43" s="19" t="inlineStr"/>
      <c r="M43" s="17" t="inlineStr"/>
      <c r="N43" s="19" t="inlineStr"/>
      <c r="O43" s="17" t="inlineStr">
        <is>
          <t>Bart Witte</t>
        </is>
      </c>
      <c r="P43" s="17" t="inlineStr">
        <is>
          <t>bart.witte@sweco.nl</t>
        </is>
      </c>
      <c r="Q43" s="17" t="inlineStr">
        <is>
          <t>netherlands/2026_08_04_sweco_road_engineering_witte</t>
        </is>
      </c>
      <c r="R43" s="18" t="inlineStr">
        <is>
          <t>Medium</t>
        </is>
      </c>
      <c r="S43" s="17" t="inlineStr">
        <is>
          <t>Third application to Bart Witte (confirmed with user before proceeding). No specific technical software gap; Dutch C1 required, not disclosed per updated default.</t>
        </is>
      </c>
    </row>
    <row r="44" ht="15" customHeight="1" s="21">
      <c r="A44" s="11" t="n"/>
      <c r="B44" s="11" t="n"/>
      <c r="C44" s="11" t="n"/>
      <c r="D44" s="12" t="n"/>
      <c r="E44" s="11" t="n"/>
      <c r="F44" s="11" t="n"/>
      <c r="G44" s="11" t="n"/>
      <c r="H44" s="13" t="n"/>
      <c r="I44" s="12" t="n"/>
      <c r="J44" s="12" t="n"/>
      <c r="K44" s="14">
        <f>IF($H44="","",TODAY()-$H44)</f>
        <v/>
      </c>
      <c r="L44" s="13" t="n"/>
      <c r="M44" s="11" t="n"/>
      <c r="N44" s="13" t="n"/>
      <c r="O44" s="11" t="n"/>
      <c r="P44" s="11" t="n"/>
      <c r="Q44" s="11" t="n"/>
      <c r="R44" s="12" t="n"/>
      <c r="S44" s="11" t="n"/>
    </row>
    <row r="45" ht="15" customHeight="1" s="21">
      <c r="A45" s="11" t="n"/>
      <c r="B45" s="11" t="n"/>
      <c r="C45" s="11" t="n"/>
      <c r="D45" s="12" t="n"/>
      <c r="E45" s="11" t="n"/>
      <c r="F45" s="11" t="n"/>
      <c r="G45" s="11" t="n"/>
      <c r="H45" s="13" t="n"/>
      <c r="I45" s="12" t="n"/>
      <c r="J45" s="12" t="n"/>
      <c r="K45" s="14">
        <f>IF($H45="","",TODAY()-$H45)</f>
        <v/>
      </c>
      <c r="L45" s="13" t="n"/>
      <c r="M45" s="11" t="n"/>
      <c r="N45" s="13" t="n"/>
      <c r="O45" s="11" t="n"/>
      <c r="P45" s="11" t="n"/>
      <c r="Q45" s="11" t="n"/>
      <c r="R45" s="12" t="n"/>
      <c r="S45" s="11" t="n"/>
    </row>
    <row r="46" ht="15" customHeight="1" s="21">
      <c r="A46" s="11" t="n"/>
      <c r="B46" s="11" t="n"/>
      <c r="C46" s="11" t="n"/>
      <c r="D46" s="12" t="n"/>
      <c r="E46" s="11" t="n"/>
      <c r="F46" s="11" t="n"/>
      <c r="G46" s="11" t="n"/>
      <c r="H46" s="13" t="n"/>
      <c r="I46" s="12" t="n"/>
      <c r="J46" s="12" t="n"/>
      <c r="K46" s="14">
        <f>IF($H46="","",TODAY()-$H46)</f>
        <v/>
      </c>
      <c r="L46" s="13" t="n"/>
      <c r="M46" s="11" t="n"/>
      <c r="N46" s="13" t="n"/>
      <c r="O46" s="11" t="n"/>
      <c r="P46" s="11" t="n"/>
      <c r="Q46" s="11" t="n"/>
      <c r="R46" s="12" t="n"/>
      <c r="S46" s="11" t="n"/>
    </row>
    <row r="47" ht="15" customHeight="1" s="21">
      <c r="A47" s="11" t="n"/>
      <c r="B47" s="11" t="n"/>
      <c r="C47" s="11" t="n"/>
      <c r="D47" s="12" t="n"/>
      <c r="E47" s="11" t="n"/>
      <c r="F47" s="11" t="n"/>
      <c r="G47" s="11" t="n"/>
      <c r="H47" s="13" t="n"/>
      <c r="I47" s="12" t="n"/>
      <c r="J47" s="12" t="n"/>
      <c r="K47" s="14">
        <f>IF($H47="","",TODAY()-$H47)</f>
        <v/>
      </c>
      <c r="L47" s="13" t="n"/>
      <c r="M47" s="11" t="n"/>
      <c r="N47" s="13" t="n"/>
      <c r="O47" s="11" t="n"/>
      <c r="P47" s="11" t="n"/>
      <c r="Q47" s="11" t="n"/>
      <c r="R47" s="12" t="n"/>
      <c r="S47" s="11" t="n"/>
    </row>
    <row r="48" ht="15" customHeight="1" s="21">
      <c r="A48" s="11" t="n"/>
      <c r="B48" s="11" t="n"/>
      <c r="C48" s="11" t="n"/>
      <c r="D48" s="12" t="n"/>
      <c r="E48" s="11" t="n"/>
      <c r="F48" s="11" t="n"/>
      <c r="G48" s="11" t="n"/>
      <c r="H48" s="13" t="n"/>
      <c r="I48" s="12" t="n"/>
      <c r="J48" s="12" t="n"/>
      <c r="K48" s="14">
        <f>IF($H48="","",TODAY()-$H48)</f>
        <v/>
      </c>
      <c r="L48" s="13" t="n"/>
      <c r="M48" s="11" t="n"/>
      <c r="N48" s="13" t="n"/>
      <c r="O48" s="11" t="n"/>
      <c r="P48" s="11" t="n"/>
      <c r="Q48" s="11" t="n"/>
      <c r="R48" s="12" t="n"/>
      <c r="S48" s="11" t="n"/>
    </row>
    <row r="49" ht="15" customHeight="1" s="21">
      <c r="A49" s="11" t="n"/>
      <c r="B49" s="11" t="n"/>
      <c r="C49" s="11" t="n"/>
      <c r="D49" s="12" t="n"/>
      <c r="E49" s="11" t="n"/>
      <c r="F49" s="11" t="n"/>
      <c r="G49" s="11" t="n"/>
      <c r="H49" s="13" t="n"/>
      <c r="I49" s="12" t="n"/>
      <c r="J49" s="12" t="n"/>
      <c r="K49" s="14">
        <f>IF($H49="","",TODAY()-$H49)</f>
        <v/>
      </c>
      <c r="L49" s="13" t="n"/>
      <c r="M49" s="11" t="n"/>
      <c r="N49" s="13" t="n"/>
      <c r="O49" s="11" t="n"/>
      <c r="P49" s="11" t="n"/>
      <c r="Q49" s="11" t="n"/>
      <c r="R49" s="12" t="n"/>
      <c r="S49" s="11" t="n"/>
    </row>
    <row r="50" ht="15" customHeight="1" s="21">
      <c r="A50" s="11" t="n"/>
      <c r="B50" s="11" t="n"/>
      <c r="C50" s="11" t="n"/>
      <c r="D50" s="12" t="n"/>
      <c r="E50" s="11" t="n"/>
      <c r="F50" s="11" t="n"/>
      <c r="G50" s="11" t="n"/>
      <c r="H50" s="13" t="n"/>
      <c r="I50" s="12" t="n"/>
      <c r="J50" s="12" t="n"/>
      <c r="K50" s="14">
        <f>IF($H50="","",TODAY()-$H50)</f>
        <v/>
      </c>
      <c r="L50" s="13" t="n"/>
      <c r="M50" s="11" t="n"/>
      <c r="N50" s="13" t="n"/>
      <c r="O50" s="11" t="n"/>
      <c r="P50" s="11" t="n"/>
      <c r="Q50" s="11" t="n"/>
      <c r="R50" s="12" t="n"/>
      <c r="S50" s="11" t="n"/>
    </row>
    <row r="51" ht="15" customHeight="1" s="21">
      <c r="A51" s="11" t="n"/>
      <c r="B51" s="11" t="n"/>
      <c r="C51" s="11" t="n"/>
      <c r="D51" s="12" t="n"/>
      <c r="E51" s="11" t="n"/>
      <c r="F51" s="11" t="n"/>
      <c r="G51" s="11" t="n"/>
      <c r="H51" s="13" t="n"/>
      <c r="I51" s="12" t="n"/>
      <c r="J51" s="12" t="n"/>
      <c r="K51" s="14">
        <f>IF($H51="","",TODAY()-$H51)</f>
        <v/>
      </c>
      <c r="L51" s="13" t="n"/>
      <c r="M51" s="11" t="n"/>
      <c r="N51" s="13" t="n"/>
      <c r="O51" s="11" t="n"/>
      <c r="P51" s="11" t="n"/>
      <c r="Q51" s="11" t="n"/>
      <c r="R51" s="12" t="n"/>
      <c r="S51" s="11" t="n"/>
    </row>
    <row r="52" ht="15" customHeight="1" s="21">
      <c r="A52" s="11" t="n"/>
      <c r="B52" s="11" t="n"/>
      <c r="C52" s="11" t="n"/>
      <c r="D52" s="12" t="n"/>
      <c r="E52" s="11" t="n"/>
      <c r="F52" s="11" t="n"/>
      <c r="G52" s="11" t="n"/>
      <c r="H52" s="13" t="n"/>
      <c r="I52" s="12" t="n"/>
      <c r="J52" s="12" t="n"/>
      <c r="K52" s="14">
        <f>IF($H52="","",TODAY()-$H52)</f>
        <v/>
      </c>
      <c r="L52" s="13" t="n"/>
      <c r="M52" s="11" t="n"/>
      <c r="N52" s="13" t="n"/>
      <c r="O52" s="11" t="n"/>
      <c r="P52" s="11" t="n"/>
      <c r="Q52" s="11" t="n"/>
      <c r="R52" s="12" t="n"/>
      <c r="S52" s="11" t="n"/>
    </row>
    <row r="53" ht="15" customHeight="1" s="21">
      <c r="A53" s="11" t="n"/>
      <c r="B53" s="11" t="n"/>
      <c r="C53" s="11" t="n"/>
      <c r="D53" s="12" t="n"/>
      <c r="E53" s="11" t="n"/>
      <c r="F53" s="11" t="n"/>
      <c r="G53" s="11" t="n"/>
      <c r="H53" s="13" t="n"/>
      <c r="I53" s="12" t="n"/>
      <c r="J53" s="12" t="n"/>
      <c r="K53" s="14">
        <f>IF($H53="","",TODAY()-$H53)</f>
        <v/>
      </c>
      <c r="L53" s="13" t="n"/>
      <c r="M53" s="11" t="n"/>
      <c r="N53" s="13" t="n"/>
      <c r="O53" s="11" t="n"/>
      <c r="P53" s="11" t="n"/>
      <c r="Q53" s="11" t="n"/>
      <c r="R53" s="12" t="n"/>
      <c r="S53" s="11" t="n"/>
    </row>
    <row r="54" ht="15" customHeight="1" s="21">
      <c r="A54" s="11" t="n"/>
      <c r="B54" s="11" t="n"/>
      <c r="C54" s="11" t="n"/>
      <c r="D54" s="12" t="n"/>
      <c r="E54" s="11" t="n"/>
      <c r="F54" s="11" t="n"/>
      <c r="G54" s="11" t="n"/>
      <c r="H54" s="13" t="n"/>
      <c r="I54" s="12" t="n"/>
      <c r="J54" s="12" t="n"/>
      <c r="K54" s="14">
        <f>IF($H54="","",TODAY()-$H54)</f>
        <v/>
      </c>
      <c r="L54" s="13" t="n"/>
      <c r="M54" s="11" t="n"/>
      <c r="N54" s="13" t="n"/>
      <c r="O54" s="11" t="n"/>
      <c r="P54" s="11" t="n"/>
      <c r="Q54" s="11" t="n"/>
      <c r="R54" s="12" t="n"/>
      <c r="S54" s="11" t="n"/>
    </row>
    <row r="55" ht="15" customHeight="1" s="21">
      <c r="A55" s="11" t="n"/>
      <c r="B55" s="11" t="n"/>
      <c r="C55" s="11" t="n"/>
      <c r="D55" s="12" t="n"/>
      <c r="E55" s="11" t="n"/>
      <c r="F55" s="11" t="n"/>
      <c r="G55" s="11" t="n"/>
      <c r="H55" s="13" t="n"/>
      <c r="I55" s="12" t="n"/>
      <c r="J55" s="12" t="n"/>
      <c r="K55" s="14">
        <f>IF($H55="","",TODAY()-$H55)</f>
        <v/>
      </c>
      <c r="L55" s="13" t="n"/>
      <c r="M55" s="11" t="n"/>
      <c r="N55" s="13" t="n"/>
      <c r="O55" s="11" t="n"/>
      <c r="P55" s="11" t="n"/>
      <c r="Q55" s="11" t="n"/>
      <c r="R55" s="12" t="n"/>
      <c r="S55" s="11" t="n"/>
    </row>
    <row r="56" ht="15" customHeight="1" s="21">
      <c r="A56" s="11" t="n"/>
      <c r="B56" s="11" t="n"/>
      <c r="C56" s="11" t="n"/>
      <c r="D56" s="12" t="n"/>
      <c r="E56" s="11" t="n"/>
      <c r="F56" s="11" t="n"/>
      <c r="G56" s="11" t="n"/>
      <c r="H56" s="13" t="n"/>
      <c r="I56" s="12" t="n"/>
      <c r="J56" s="12" t="n"/>
      <c r="K56" s="14">
        <f>IF($H56="","",TODAY()-$H56)</f>
        <v/>
      </c>
      <c r="L56" s="13" t="n"/>
      <c r="M56" s="11" t="n"/>
      <c r="N56" s="13" t="n"/>
      <c r="O56" s="11" t="n"/>
      <c r="P56" s="11" t="n"/>
      <c r="Q56" s="11" t="n"/>
      <c r="R56" s="12" t="n"/>
      <c r="S56" s="11" t="n"/>
    </row>
    <row r="57" ht="15" customHeight="1" s="21">
      <c r="A57" s="11" t="n"/>
      <c r="B57" s="11" t="n"/>
      <c r="C57" s="11" t="n"/>
      <c r="D57" s="12" t="n"/>
      <c r="E57" s="11" t="n"/>
      <c r="F57" s="11" t="n"/>
      <c r="G57" s="11" t="n"/>
      <c r="H57" s="13" t="n"/>
      <c r="I57" s="12" t="n"/>
      <c r="J57" s="12" t="n"/>
      <c r="K57" s="14">
        <f>IF($H57="","",TODAY()-$H57)</f>
        <v/>
      </c>
      <c r="L57" s="13" t="n"/>
      <c r="M57" s="11" t="n"/>
      <c r="N57" s="13" t="n"/>
      <c r="O57" s="11" t="n"/>
      <c r="P57" s="11" t="n"/>
      <c r="Q57" s="11" t="n"/>
      <c r="R57" s="12" t="n"/>
      <c r="S57" s="11" t="n"/>
    </row>
    <row r="58" ht="15" customHeight="1" s="21">
      <c r="A58" s="11" t="n"/>
      <c r="B58" s="11" t="n"/>
      <c r="C58" s="11" t="n"/>
      <c r="D58" s="12" t="n"/>
      <c r="E58" s="11" t="n"/>
      <c r="F58" s="11" t="n"/>
      <c r="G58" s="11" t="n"/>
      <c r="H58" s="13" t="n"/>
      <c r="I58" s="12" t="n"/>
      <c r="J58" s="12" t="n"/>
      <c r="K58" s="14">
        <f>IF($H58="","",TODAY()-$H58)</f>
        <v/>
      </c>
      <c r="L58" s="13" t="n"/>
      <c r="M58" s="11" t="n"/>
      <c r="N58" s="13" t="n"/>
      <c r="O58" s="11" t="n"/>
      <c r="P58" s="11" t="n"/>
      <c r="Q58" s="11" t="n"/>
      <c r="R58" s="12" t="n"/>
      <c r="S58" s="11" t="n"/>
    </row>
    <row r="59" ht="15" customHeight="1" s="21">
      <c r="A59" s="11" t="n"/>
      <c r="B59" s="11" t="n"/>
      <c r="C59" s="11" t="n"/>
      <c r="D59" s="12" t="n"/>
      <c r="E59" s="11" t="n"/>
      <c r="F59" s="11" t="n"/>
      <c r="G59" s="11" t="n"/>
      <c r="H59" s="13" t="n"/>
      <c r="I59" s="12" t="n"/>
      <c r="J59" s="12" t="n"/>
      <c r="K59" s="14">
        <f>IF($H59="","",TODAY()-$H59)</f>
        <v/>
      </c>
      <c r="L59" s="13" t="n"/>
      <c r="M59" s="11" t="n"/>
      <c r="N59" s="13" t="n"/>
      <c r="O59" s="11" t="n"/>
      <c r="P59" s="11" t="n"/>
      <c r="Q59" s="11" t="n"/>
      <c r="R59" s="12" t="n"/>
      <c r="S59" s="11" t="n"/>
    </row>
    <row r="60" ht="15" customHeight="1" s="21">
      <c r="A60" s="11" t="n"/>
      <c r="B60" s="11" t="n"/>
      <c r="C60" s="11" t="n"/>
      <c r="D60" s="12" t="n"/>
      <c r="E60" s="11" t="n"/>
      <c r="F60" s="11" t="n"/>
      <c r="G60" s="11" t="n"/>
      <c r="H60" s="13" t="n"/>
      <c r="I60" s="12" t="n"/>
      <c r="J60" s="12" t="n"/>
      <c r="K60" s="14">
        <f>IF($H60="","",TODAY()-$H60)</f>
        <v/>
      </c>
      <c r="L60" s="13" t="n"/>
      <c r="M60" s="11" t="n"/>
      <c r="N60" s="13" t="n"/>
      <c r="O60" s="11" t="n"/>
      <c r="P60" s="11" t="n"/>
      <c r="Q60" s="11" t="n"/>
      <c r="R60" s="12" t="n"/>
      <c r="S60" s="11" t="n"/>
    </row>
    <row r="61" ht="15" customHeight="1" s="21">
      <c r="A61" s="11" t="n"/>
      <c r="B61" s="11" t="n"/>
      <c r="C61" s="11" t="n"/>
      <c r="D61" s="12" t="n"/>
      <c r="E61" s="11" t="n"/>
      <c r="F61" s="11" t="n"/>
      <c r="G61" s="11" t="n"/>
      <c r="H61" s="13" t="n"/>
      <c r="I61" s="12" t="n"/>
      <c r="J61" s="12" t="n"/>
      <c r="K61" s="14">
        <f>IF($H61="","",TODAY()-$H61)</f>
        <v/>
      </c>
      <c r="L61" s="13" t="n"/>
      <c r="M61" s="11" t="n"/>
      <c r="N61" s="13" t="n"/>
      <c r="O61" s="11" t="n"/>
      <c r="P61" s="11" t="n"/>
      <c r="Q61" s="11" t="n"/>
      <c r="R61" s="12" t="n"/>
      <c r="S61" s="11" t="n"/>
    </row>
    <row r="62" ht="15" customHeight="1" s="21">
      <c r="A62" s="11" t="n"/>
      <c r="B62" s="11" t="n"/>
      <c r="C62" s="11" t="n"/>
      <c r="D62" s="12" t="n"/>
      <c r="E62" s="11" t="n"/>
      <c r="F62" s="11" t="n"/>
      <c r="G62" s="11" t="n"/>
      <c r="H62" s="13" t="n"/>
      <c r="I62" s="12" t="n"/>
      <c r="J62" s="12" t="n"/>
      <c r="K62" s="14">
        <f>IF($H62="","",TODAY()-$H62)</f>
        <v/>
      </c>
      <c r="L62" s="13" t="n"/>
      <c r="M62" s="11" t="n"/>
      <c r="N62" s="13" t="n"/>
      <c r="O62" s="11" t="n"/>
      <c r="P62" s="11" t="n"/>
      <c r="Q62" s="11" t="n"/>
      <c r="R62" s="12" t="n"/>
      <c r="S62" s="11" t="n"/>
    </row>
    <row r="63" ht="15" customHeight="1" s="21">
      <c r="A63" s="11" t="n"/>
      <c r="B63" s="11" t="n"/>
      <c r="C63" s="11" t="n"/>
      <c r="D63" s="12" t="n"/>
      <c r="E63" s="11" t="n"/>
      <c r="F63" s="11" t="n"/>
      <c r="G63" s="11" t="n"/>
      <c r="H63" s="13" t="n"/>
      <c r="I63" s="12" t="n"/>
      <c r="J63" s="12" t="n"/>
      <c r="K63" s="14">
        <f>IF($H63="","",TODAY()-$H63)</f>
        <v/>
      </c>
      <c r="L63" s="13" t="n"/>
      <c r="M63" s="11" t="n"/>
      <c r="N63" s="13" t="n"/>
      <c r="O63" s="11" t="n"/>
      <c r="P63" s="11" t="n"/>
      <c r="Q63" s="11" t="n"/>
      <c r="R63" s="12" t="n"/>
      <c r="S63" s="11" t="n"/>
    </row>
    <row r="64" ht="15" customHeight="1" s="21">
      <c r="A64" s="11" t="n"/>
      <c r="B64" s="11" t="n"/>
      <c r="C64" s="11" t="n"/>
      <c r="D64" s="12" t="n"/>
      <c r="E64" s="11" t="n"/>
      <c r="F64" s="11" t="n"/>
      <c r="G64" s="11" t="n"/>
      <c r="H64" s="13" t="n"/>
      <c r="I64" s="12" t="n"/>
      <c r="J64" s="12" t="n"/>
      <c r="K64" s="14">
        <f>IF($H64="","",TODAY()-$H64)</f>
        <v/>
      </c>
      <c r="L64" s="13" t="n"/>
      <c r="M64" s="11" t="n"/>
      <c r="N64" s="13" t="n"/>
      <c r="O64" s="11" t="n"/>
      <c r="P64" s="11" t="n"/>
      <c r="Q64" s="11" t="n"/>
      <c r="R64" s="12" t="n"/>
      <c r="S64" s="11" t="n"/>
    </row>
    <row r="65" ht="15" customHeight="1" s="21">
      <c r="A65" s="11" t="n"/>
      <c r="B65" s="11" t="n"/>
      <c r="C65" s="11" t="n"/>
      <c r="D65" s="12" t="n"/>
      <c r="E65" s="11" t="n"/>
      <c r="F65" s="11" t="n"/>
      <c r="G65" s="11" t="n"/>
      <c r="H65" s="13" t="n"/>
      <c r="I65" s="12" t="n"/>
      <c r="J65" s="12" t="n"/>
      <c r="K65" s="14">
        <f>IF($H65="","",TODAY()-$H65)</f>
        <v/>
      </c>
      <c r="L65" s="13" t="n"/>
      <c r="M65" s="11" t="n"/>
      <c r="N65" s="13" t="n"/>
      <c r="O65" s="11" t="n"/>
      <c r="P65" s="11" t="n"/>
      <c r="Q65" s="11" t="n"/>
      <c r="R65" s="12" t="n"/>
      <c r="S65" s="11" t="n"/>
    </row>
    <row r="66" ht="15" customHeight="1" s="21">
      <c r="A66" s="11" t="n"/>
      <c r="B66" s="11" t="n"/>
      <c r="C66" s="11" t="n"/>
      <c r="D66" s="12" t="n"/>
      <c r="E66" s="11" t="n"/>
      <c r="F66" s="11" t="n"/>
      <c r="G66" s="11" t="n"/>
      <c r="H66" s="13" t="n"/>
      <c r="I66" s="12" t="n"/>
      <c r="J66" s="12" t="n"/>
      <c r="K66" s="14">
        <f>IF($H66="","",TODAY()-$H66)</f>
        <v/>
      </c>
      <c r="L66" s="13" t="n"/>
      <c r="M66" s="11" t="n"/>
      <c r="N66" s="13" t="n"/>
      <c r="O66" s="11" t="n"/>
      <c r="P66" s="11" t="n"/>
      <c r="Q66" s="11" t="n"/>
      <c r="R66" s="12" t="n"/>
      <c r="S66" s="11" t="n"/>
    </row>
    <row r="67" ht="15" customHeight="1" s="21">
      <c r="A67" s="11" t="n"/>
      <c r="B67" s="11" t="n"/>
      <c r="C67" s="11" t="n"/>
      <c r="D67" s="12" t="n"/>
      <c r="E67" s="11" t="n"/>
      <c r="F67" s="11" t="n"/>
      <c r="G67" s="11" t="n"/>
      <c r="H67" s="13" t="n"/>
      <c r="I67" s="12" t="n"/>
      <c r="J67" s="12" t="n"/>
      <c r="K67" s="14">
        <f>IF($H67="","",TODAY()-$H67)</f>
        <v/>
      </c>
      <c r="L67" s="13" t="n"/>
      <c r="M67" s="11" t="n"/>
      <c r="N67" s="13" t="n"/>
      <c r="O67" s="11" t="n"/>
      <c r="P67" s="11" t="n"/>
      <c r="Q67" s="11" t="n"/>
      <c r="R67" s="12" t="n"/>
      <c r="S67" s="11" t="n"/>
    </row>
    <row r="68" ht="15" customHeight="1" s="21">
      <c r="A68" s="11" t="n"/>
      <c r="B68" s="11" t="n"/>
      <c r="C68" s="11" t="n"/>
      <c r="D68" s="12" t="n"/>
      <c r="E68" s="11" t="n"/>
      <c r="F68" s="11" t="n"/>
      <c r="G68" s="11" t="n"/>
      <c r="H68" s="13" t="n"/>
      <c r="I68" s="12" t="n"/>
      <c r="J68" s="12" t="n"/>
      <c r="K68" s="14">
        <f>IF($H68="","",TODAY()-$H68)</f>
        <v/>
      </c>
      <c r="L68" s="13" t="n"/>
      <c r="M68" s="11" t="n"/>
      <c r="N68" s="13" t="n"/>
      <c r="O68" s="11" t="n"/>
      <c r="P68" s="11" t="n"/>
      <c r="Q68" s="11" t="n"/>
      <c r="R68" s="12" t="n"/>
      <c r="S68" s="11" t="n"/>
    </row>
    <row r="69" ht="15" customHeight="1" s="21">
      <c r="A69" s="11" t="n"/>
      <c r="B69" s="11" t="n"/>
      <c r="C69" s="11" t="n"/>
      <c r="D69" s="12" t="n"/>
      <c r="E69" s="11" t="n"/>
      <c r="F69" s="11" t="n"/>
      <c r="G69" s="11" t="n"/>
      <c r="H69" s="13" t="n"/>
      <c r="I69" s="12" t="n"/>
      <c r="J69" s="12" t="n"/>
      <c r="K69" s="14">
        <f>IF($H69="","",TODAY()-$H69)</f>
        <v/>
      </c>
      <c r="L69" s="13" t="n"/>
      <c r="M69" s="11" t="n"/>
      <c r="N69" s="13" t="n"/>
      <c r="O69" s="11" t="n"/>
      <c r="P69" s="11" t="n"/>
      <c r="Q69" s="11" t="n"/>
      <c r="R69" s="12" t="n"/>
      <c r="S69" s="11" t="n"/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2026-08-04T11:08:45Z</dcterms:modified>
  <cp:lastModifiedBy>HARIS WAHEED BHATTI</cp:lastModifiedBy>
  <cp:revision>0</cp:revision>
</cp:coreProperties>
</file>