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710" yWindow="2175" windowWidth="15240" windowHeight="11295" tabRatio="500" firstSheet="0" activeTab="1" autoFilterDateGrouping="1"/>
  </bookViews>
  <sheets>
    <sheet name="Dashboard" sheetId="1" state="visible" r:id="rId1"/>
    <sheet name="Applications" sheetId="2" state="visible" r:id="rId2"/>
    <sheet name="Lists" sheetId="3" state="visible" r:id="rId3"/>
  </sheets>
  <definedNames>
    <definedName name="_xlnm._FilterDatabase" localSheetId="1" hidden="1">'Applications'!$A$2:$S$502</definedName>
  </definedNames>
  <calcPr calcId="191029" fullCalcOnLoad="1" iterateDelta="0.0001"/>
</workbook>
</file>

<file path=xl/styles.xml><?xml version="1.0" encoding="utf-8"?>
<styleSheet xmlns="http://schemas.openxmlformats.org/spreadsheetml/2006/main">
  <numFmts count="1">
    <numFmt numFmtId="164" formatCode="yyyy\-mm\-dd"/>
  </numFmts>
  <fonts count="14">
    <font>
      <name val="Calibri"/>
      <charset val="1"/>
      <family val="2"/>
      <color theme="1"/>
      <sz val="11"/>
    </font>
    <font>
      <name val="Arial"/>
      <charset val="1"/>
      <b val="1"/>
      <color rgb="FF1F3864"/>
      <sz val="16"/>
    </font>
    <font>
      <name val="Arial"/>
      <charset val="1"/>
      <i val="1"/>
      <color rgb="FF808080"/>
      <sz val="9"/>
    </font>
    <font>
      <name val="Arial"/>
      <charset val="1"/>
      <b val="1"/>
      <color rgb="FFFFFFFF"/>
      <sz val="11"/>
    </font>
    <font>
      <name val="Arial"/>
      <charset val="1"/>
      <b val="1"/>
      <color rgb="FFFFFFFF"/>
      <sz val="9"/>
    </font>
    <font>
      <name val="Arial"/>
      <charset val="1"/>
      <sz val="10"/>
    </font>
    <font>
      <name val="Arial"/>
      <charset val="1"/>
      <b val="1"/>
      <sz val="10"/>
    </font>
    <font>
      <name val="Arial"/>
      <charset val="1"/>
      <color rgb="FF595959"/>
      <sz val="10"/>
    </font>
    <font>
      <name val="Arial"/>
      <charset val="1"/>
      <color rgb="FF404040"/>
      <sz val="9"/>
    </font>
    <font>
      <name val="Arial"/>
      <charset val="1"/>
      <i val="1"/>
      <color rgb="FF808080"/>
      <sz val="8"/>
    </font>
    <font>
      <name val="Arial"/>
      <charset val="1"/>
      <b val="1"/>
      <color rgb="FF1F3864"/>
      <sz val="14"/>
    </font>
    <font>
      <name val="Arial"/>
      <charset val="1"/>
      <b val="1"/>
      <color rgb="FFFFFFFF"/>
      <sz val="10"/>
    </font>
    <font>
      <name val="Arial"/>
      <charset val="1"/>
      <i val="1"/>
      <color rgb="FF7F7F7F"/>
      <sz val="10"/>
    </font>
    <font>
      <name val="Arial"/>
      <sz val="10"/>
    </font>
  </fonts>
  <fills count="5">
    <fill>
      <patternFill/>
    </fill>
    <fill>
      <patternFill patternType="gray125"/>
    </fill>
    <fill>
      <patternFill patternType="solid">
        <fgColor rgb="FF1F3864"/>
        <bgColor rgb="FF333399"/>
      </patternFill>
    </fill>
    <fill>
      <patternFill patternType="solid">
        <fgColor rgb="FF8496B0"/>
        <bgColor rgb="FF808080"/>
      </patternFill>
    </fill>
    <fill>
      <patternFill patternType="solid">
        <fgColor rgb="FFF2F2F2"/>
        <b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xf>
    <xf numFmtId="0" fontId="5" fillId="0" borderId="1" pivotButton="0" quotePrefix="0" xfId="0"/>
    <xf numFmtId="1" fontId="6" fillId="0" borderId="1" applyAlignment="1" pivotButton="0" quotePrefix="0" xfId="0">
      <alignment horizontal="center"/>
    </xf>
    <xf numFmtId="9" fontId="7" fillId="0" borderId="1" applyAlignment="1" pivotButton="0" quotePrefix="0" xfId="0">
      <alignment horizontal="center"/>
    </xf>
    <xf numFmtId="0" fontId="9" fillId="0" borderId="0" pivotButton="0" quotePrefix="0" xfId="0"/>
    <xf numFmtId="0" fontId="10" fillId="0" borderId="0" pivotButton="0" quotePrefix="0" xfId="0"/>
    <xf numFmtId="0" fontId="11" fillId="2" borderId="1" applyAlignment="1" pivotButton="0" quotePrefix="0" xfId="0">
      <alignment horizontal="center" vertical="center" wrapText="1"/>
    </xf>
    <xf numFmtId="1" fontId="12" fillId="4" borderId="1" applyAlignment="1" pivotButton="0" quotePrefix="0" xfId="0">
      <alignment horizontal="center" vertical="center"/>
    </xf>
    <xf numFmtId="0" fontId="5" fillId="0" borderId="1" applyAlignment="1" pivotButton="0" quotePrefix="0" xfId="0">
      <alignment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1" fontId="5" fillId="4" borderId="1" applyAlignment="1" pivotButton="0" quotePrefix="0" xfId="0">
      <alignment horizontal="center" vertical="center"/>
    </xf>
    <xf numFmtId="0" fontId="11" fillId="2" borderId="0" applyAlignment="1" pivotButton="0" quotePrefix="0" xfId="0">
      <alignment horizontal="center"/>
    </xf>
    <xf numFmtId="0" fontId="5" fillId="0" borderId="0" pivotButton="0" quotePrefix="0" xfId="0"/>
    <xf numFmtId="0" fontId="13" fillId="0" borderId="1" applyAlignment="1" pivotButton="0" quotePrefix="0" xfId="0">
      <alignmen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3" fillId="2" borderId="0" applyAlignment="1" pivotButton="0" quotePrefix="0" xfId="0">
      <alignment vertical="center" indent="1"/>
    </xf>
    <xf numFmtId="0" fontId="0" fillId="0" borderId="0" pivotButton="0" quotePrefix="0" xfId="0"/>
    <xf numFmtId="0" fontId="8" fillId="0" borderId="0" applyAlignment="1" pivotButton="0" quotePrefix="0" xfId="0">
      <alignment vertical="center"/>
    </xf>
  </cellXfs>
  <cellStyles count="1">
    <cellStyle name="Normal" xfId="0" builtinId="0"/>
  </cellStyles>
  <dxfs count="16">
    <dxf>
      <fill>
        <patternFill>
          <bgColor rgb="FFF2F2F2"/>
        </patternFill>
      </fill>
    </dxf>
    <dxf>
      <fill>
        <patternFill>
          <bgColor rgb="FFFFF2CC"/>
        </patternFill>
      </fill>
    </dxf>
    <dxf>
      <fill>
        <patternFill>
          <bgColor rgb="FFFFC7CE"/>
        </patternFill>
      </fill>
    </dxf>
    <dxf>
      <font>
        <name val="Arial"/>
        <charset val="1"/>
        <b val="1"/>
        <color rgb="FF9C0006"/>
        <sz val="10"/>
      </font>
      <fill>
        <patternFill>
          <bgColor rgb="FFFFC7CE"/>
        </patternFill>
      </fill>
    </dxf>
    <dxf>
      <font>
        <name val="Arial"/>
        <charset val="1"/>
        <b val="1"/>
        <color rgb="FFC55A11"/>
        <sz val="10"/>
      </font>
      <fill>
        <patternFill>
          <bgColor rgb="FFFCE4D6"/>
        </patternFill>
      </fill>
    </dxf>
    <dxf>
      <fill>
        <patternFill>
          <bgColor rgb="FFFFF2CC"/>
        </patternFill>
      </fill>
    </dxf>
    <dxf>
      <fill>
        <patternFill>
          <bgColor rgb="FFC6EFCE"/>
        </patternFill>
      </fill>
    </dxf>
    <dxf>
      <fill>
        <patternFill>
          <bgColor rgb="FFE7E6E6"/>
        </patternFill>
      </fill>
    </dxf>
    <dxf>
      <fill>
        <patternFill>
          <bgColor rgb="FFE7E6E6"/>
        </patternFill>
      </fill>
    </dxf>
    <dxf>
      <fill>
        <patternFill>
          <bgColor rgb="FFFFC7CE"/>
        </patternFill>
      </fill>
    </dxf>
    <dxf>
      <fill>
        <patternFill>
          <bgColor rgb="FFC6EFCE"/>
        </patternFill>
      </fill>
    </dxf>
    <dxf>
      <fill>
        <patternFill>
          <bgColor rgb="FFFDE9D9"/>
        </patternFill>
      </fill>
    </dxf>
    <dxf>
      <fill>
        <patternFill>
          <bgColor rgb="FFDAEEF3"/>
        </patternFill>
      </fill>
    </dxf>
    <dxf>
      <fill>
        <patternFill>
          <bgColor rgb="FFE4DFEC"/>
        </patternFill>
      </fill>
    </dxf>
    <dxf>
      <fill>
        <patternFill>
          <bgColor rgb="FFDDEBF7"/>
        </patternFill>
      </fill>
    </dxf>
    <dxf>
      <fill>
        <patternFill>
          <bgColor rgb="FF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7F7F"/>
      <rgbColor rgb="FF800080"/>
      <rgbColor rgb="FF008080"/>
      <rgbColor rgb="FFBFBFBF"/>
      <rgbColor rgb="FF808080"/>
      <rgbColor rgb="FF9999FF"/>
      <rgbColor rgb="FF993366"/>
      <rgbColor rgb="FFFFF2CC"/>
      <rgbColor rgb="FFDAEEF3"/>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DDEBF7"/>
      <rgbColor rgb="FFC6EFCE"/>
      <rgbColor rgb="FFFDE9D9"/>
      <rgbColor rgb="FFE7E6E6"/>
      <rgbColor rgb="FFFCE4D6"/>
      <rgbColor rgb="FFF2F2F2"/>
      <rgbColor rgb="FFFFC7CE"/>
      <rgbColor rgb="FF3366FF"/>
      <rgbColor rgb="FF33CCCC"/>
      <rgbColor rgb="FF99CC00"/>
      <rgbColor rgb="FFFFCC00"/>
      <rgbColor rgb="FFFF9900"/>
      <rgbColor rgb="FFC55A11"/>
      <rgbColor rgb="FF595959"/>
      <rgbColor rgb="FF8496B0"/>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zoomScaleNormal="100" workbookViewId="0">
      <selection activeCell="E33" sqref="E33"/>
    </sheetView>
  </sheetViews>
  <sheetFormatPr baseColWidth="8" defaultColWidth="8.7109375" defaultRowHeight="15"/>
  <cols>
    <col width="34" customWidth="1" style="21" min="1" max="1"/>
    <col width="12" customWidth="1" style="21" min="2" max="2"/>
    <col width="16" customWidth="1" style="21" min="3" max="3"/>
    <col width="4" customWidth="1" style="21" min="4" max="4"/>
    <col width="34" customWidth="1" style="21" min="5" max="5"/>
    <col width="12" customWidth="1" style="21" min="6" max="6"/>
    <col width="14" customWidth="1" style="21" min="7" max="7"/>
  </cols>
  <sheetData>
    <row r="1" ht="24" customHeight="1" s="21">
      <c r="A1" s="1" t="inlineStr">
        <is>
          <t>JOB SEARCH DASHBOARD</t>
        </is>
      </c>
    </row>
    <row r="2" ht="15" customHeight="1" s="21">
      <c r="A2" s="2" t="inlineStr">
        <is>
          <t>Every figure below updates automatically from the Applications tab (rows 3–502).</t>
        </is>
      </c>
    </row>
    <row r="4" ht="19.5" customHeight="1" s="21">
      <c r="A4" s="20" t="inlineStr">
        <is>
          <t>PIPELINE FUNNEL</t>
        </is>
      </c>
      <c r="E4" s="20" t="inlineStr">
        <is>
          <t>WHAT'S ACTUALLY WORKING</t>
        </is>
      </c>
    </row>
    <row r="5" ht="15" customHeight="1" s="21">
      <c r="A5" s="3" t="inlineStr">
        <is>
          <t>Stage</t>
        </is>
      </c>
      <c r="B5" s="3" t="inlineStr">
        <is>
          <t>Count</t>
        </is>
      </c>
      <c r="C5" s="3" t="inlineStr">
        <is>
          <t>% of Applied</t>
        </is>
      </c>
      <c r="E5" s="3" t="inlineStr">
        <is>
          <t>Source</t>
        </is>
      </c>
      <c r="F5" s="3" t="inlineStr">
        <is>
          <t>Applied</t>
        </is>
      </c>
      <c r="G5" s="3" t="inlineStr">
        <is>
          <t>Interviews</t>
        </is>
      </c>
    </row>
    <row r="6" ht="15" customHeight="1" s="21">
      <c r="A6" s="4" t="inlineStr">
        <is>
          <t>Applications submitted</t>
        </is>
      </c>
      <c r="B6" s="5">
        <f>COUNT(Applications!$H$3:$H$502)</f>
        <v/>
      </c>
      <c r="C6" s="6" t="n"/>
      <c r="E6" s="4" t="inlineStr">
        <is>
          <t>LinkedIn</t>
        </is>
      </c>
      <c r="F6" s="5">
        <f>COUNTIFS(Applications!$F$3:$F$502,$E6,Applications!$H$3:$H$502,"&gt;0")</f>
        <v/>
      </c>
      <c r="G6" s="5">
        <f>SUMPRODUCT((Applications!$F$3:$F$502=$E6)*((Applications!$I$3:$I$502="Interview")+(Applications!$I$3:$I$502="Final Round")+(Applications!$I$3:$I$502="Offer")))</f>
        <v/>
      </c>
    </row>
    <row r="7" ht="15" customHeight="1" s="21">
      <c r="A7" s="4" t="inlineStr">
        <is>
          <t>Reached phone screen</t>
        </is>
      </c>
      <c r="B7" s="5">
        <f>COUNTIF(Applications!$I$3:$I$502,"Phone Screen")+COUNTIF(Applications!$I$3:$I$502,"Interview")+COUNTIF(Applications!$I$3:$I$502,"Final Round")+COUNTIF(Applications!$I$3:$I$502,"Offer")</f>
        <v/>
      </c>
      <c r="C7" s="6">
        <f>IFERROR(B7/$B$6,"")</f>
        <v/>
      </c>
      <c r="E7" s="4" t="inlineStr">
        <is>
          <t>Company Site</t>
        </is>
      </c>
      <c r="F7" s="5">
        <f>COUNTIFS(Applications!$F$3:$F$502,$E7,Applications!$H$3:$H$502,"&gt;0")</f>
        <v/>
      </c>
      <c r="G7" s="5">
        <f>SUMPRODUCT((Applications!$F$3:$F$502=$E7)*((Applications!$I$3:$I$502="Interview")+(Applications!$I$3:$I$502="Final Round")+(Applications!$I$3:$I$502="Offer")))</f>
        <v/>
      </c>
    </row>
    <row r="8" ht="15" customHeight="1" s="21">
      <c r="A8" s="4" t="inlineStr">
        <is>
          <t>Reached interview</t>
        </is>
      </c>
      <c r="B8" s="5">
        <f>COUNTIF(Applications!$I$3:$I$502,"Interview")+COUNTIF(Applications!$I$3:$I$502,"Final Round")+COUNTIF(Applications!$I$3:$I$502,"Offer")</f>
        <v/>
      </c>
      <c r="C8" s="6">
        <f>IFERROR(B8/$B$6,"")</f>
        <v/>
      </c>
      <c r="E8" s="4" t="inlineStr">
        <is>
          <t>Referral</t>
        </is>
      </c>
      <c r="F8" s="5">
        <f>COUNTIFS(Applications!$F$3:$F$502,$E8,Applications!$H$3:$H$502,"&gt;0")</f>
        <v/>
      </c>
      <c r="G8" s="5">
        <f>SUMPRODUCT((Applications!$F$3:$F$502=$E8)*((Applications!$I$3:$I$502="Interview")+(Applications!$I$3:$I$502="Final Round")+(Applications!$I$3:$I$502="Offer")))</f>
        <v/>
      </c>
    </row>
    <row r="9" ht="15" customHeight="1" s="21">
      <c r="A9" s="4" t="inlineStr">
        <is>
          <t>Reached final round</t>
        </is>
      </c>
      <c r="B9" s="5">
        <f>COUNTIF(Applications!$I$3:$I$502,"Final Round")+COUNTIF(Applications!$I$3:$I$502,"Offer")</f>
        <v/>
      </c>
      <c r="C9" s="6">
        <f>IFERROR(B9/$B$6,"")</f>
        <v/>
      </c>
      <c r="E9" s="4" t="inlineStr">
        <is>
          <t>Recruiter</t>
        </is>
      </c>
      <c r="F9" s="5">
        <f>COUNTIFS(Applications!$F$3:$F$502,$E9,Applications!$H$3:$H$502,"&gt;0")</f>
        <v/>
      </c>
      <c r="G9" s="5">
        <f>SUMPRODUCT((Applications!$F$3:$F$502=$E9)*((Applications!$I$3:$I$502="Interview")+(Applications!$I$3:$I$502="Final Round")+(Applications!$I$3:$I$502="Offer")))</f>
        <v/>
      </c>
    </row>
    <row r="10" ht="15" customHeight="1" s="21">
      <c r="A10" s="4" t="inlineStr">
        <is>
          <t>Offers received</t>
        </is>
      </c>
      <c r="B10" s="5">
        <f>COUNTIF(Applications!$I$3:$I$502,"Offer")</f>
        <v/>
      </c>
      <c r="C10" s="6">
        <f>IFERROR(B10/$B$6,"")</f>
        <v/>
      </c>
      <c r="E10" s="4" t="inlineStr">
        <is>
          <t>Indeed</t>
        </is>
      </c>
      <c r="F10" s="5">
        <f>COUNTIFS(Applications!$F$3:$F$502,$E10,Applications!$H$3:$H$502,"&gt;0")</f>
        <v/>
      </c>
      <c r="G10" s="5">
        <f>SUMPRODUCT((Applications!$F$3:$F$502=$E10)*((Applications!$I$3:$I$502="Interview")+(Applications!$I$3:$I$502="Final Round")+(Applications!$I$3:$I$502="Offer")))</f>
        <v/>
      </c>
    </row>
    <row r="11" ht="15" customHeight="1" s="21">
      <c r="E11" s="4" t="inlineStr">
        <is>
          <t>Glassdoor</t>
        </is>
      </c>
      <c r="F11" s="5">
        <f>COUNTIFS(Applications!$F$3:$F$502,$E11,Applications!$H$3:$H$502,"&gt;0")</f>
        <v/>
      </c>
      <c r="G11" s="5">
        <f>SUMPRODUCT((Applications!$F$3:$F$502=$E11)*((Applications!$I$3:$I$502="Interview")+(Applications!$I$3:$I$502="Final Round")+(Applications!$I$3:$I$502="Offer")))</f>
        <v/>
      </c>
    </row>
    <row r="12" ht="19.5" customHeight="1" s="21">
      <c r="A12" s="20" t="inlineStr">
        <is>
          <t>WHERE THINGS STAND</t>
        </is>
      </c>
      <c r="E12" s="4" t="inlineStr">
        <is>
          <t>Job Board</t>
        </is>
      </c>
      <c r="F12" s="5">
        <f>COUNTIFS(Applications!$F$3:$F$502,$E12,Applications!$H$3:$H$502,"&gt;0")</f>
        <v/>
      </c>
      <c r="G12" s="5">
        <f>SUMPRODUCT((Applications!$F$3:$F$502=$E12)*((Applications!$I$3:$I$502="Interview")+(Applications!$I$3:$I$502="Final Round")+(Applications!$I$3:$I$502="Offer")))</f>
        <v/>
      </c>
    </row>
    <row r="13" ht="15" customHeight="1" s="21">
      <c r="A13" s="4" t="inlineStr">
        <is>
          <t>Still active (no outcome yet)</t>
        </is>
      </c>
      <c r="B13" s="5">
        <f>SUMPRODUCT((Applications!$H$3:$H$502&lt;&gt;"")*(Applications!$J$3:$J$502=""))</f>
        <v/>
      </c>
      <c r="E13" s="4" t="inlineStr">
        <is>
          <t>Networking</t>
        </is>
      </c>
      <c r="F13" s="5">
        <f>COUNTIFS(Applications!$F$3:$F$502,$E13,Applications!$H$3:$H$502,"&gt;0")</f>
        <v/>
      </c>
      <c r="G13" s="5">
        <f>SUMPRODUCT((Applications!$F$3:$F$502=$E13)*((Applications!$I$3:$I$502="Interview")+(Applications!$I$3:$I$502="Final Round")+(Applications!$I$3:$I$502="Offer")))</f>
        <v/>
      </c>
    </row>
    <row r="14" ht="15" customHeight="1" s="21">
      <c r="A14" s="4" t="inlineStr">
        <is>
          <t>Not applied yet</t>
        </is>
      </c>
      <c r="B14" s="5">
        <f>COUNTIF(Applications!$I$3:$I$502,"To Apply")</f>
        <v/>
      </c>
      <c r="E14" s="4" t="inlineStr">
        <is>
          <t>Other</t>
        </is>
      </c>
      <c r="F14" s="5">
        <f>COUNTIFS(Applications!$F$3:$F$502,$E14,Applications!$H$3:$H$502,"&gt;0")</f>
        <v/>
      </c>
      <c r="G14" s="5">
        <f>SUMPRODUCT((Applications!$F$3:$F$502=$E14)*((Applications!$I$3:$I$502="Interview")+(Applications!$I$3:$I$502="Final Round")+(Applications!$I$3:$I$502="Offer")))</f>
        <v/>
      </c>
    </row>
    <row r="15" ht="15" customHeight="1" s="21">
      <c r="A15" s="4" t="inlineStr">
        <is>
          <t>Rejected</t>
        </is>
      </c>
      <c r="B15" s="5">
        <f>COUNTIF(Applications!$J$3:$J$502,"Rejected")</f>
        <v/>
      </c>
    </row>
    <row r="16" ht="15" customHeight="1" s="21">
      <c r="A16" s="4" t="inlineStr">
        <is>
          <t>Ghosted</t>
        </is>
      </c>
      <c r="B16" s="5">
        <f>COUNTIF(Applications!$J$3:$J$502,"Ghosted")</f>
        <v/>
      </c>
    </row>
    <row r="17" ht="19.5" customHeight="1" s="21">
      <c r="A17" s="4" t="inlineStr">
        <is>
          <t>Withdrawn</t>
        </is>
      </c>
      <c r="B17" s="5">
        <f>COUNTIF(Applications!$J$3:$J$502,"Withdrawn")</f>
        <v/>
      </c>
      <c r="E17" s="20" t="inlineStr">
        <is>
          <t>HOW TO USE THIS TRACKER</t>
        </is>
      </c>
    </row>
    <row r="18" ht="15" customHeight="1" s="21">
      <c r="A18" s="4" t="inlineStr">
        <is>
          <t>Offers accepted</t>
        </is>
      </c>
      <c r="B18" s="5">
        <f>COUNTIF(Applications!$J$3:$J$502,"Offer Accepted")</f>
        <v/>
      </c>
      <c r="E18" s="22" t="inlineStr">
        <is>
          <t>1. Add one row per role on the Applications tab. Row 3 is an example — overwrite it.</t>
        </is>
      </c>
    </row>
    <row r="19" ht="15" customHeight="1" s="21">
      <c r="A19" s="4" t="inlineStr">
        <is>
          <t>Total roles tracked</t>
        </is>
      </c>
      <c r="B19" s="5">
        <f>COUNTA(Applications!$A$3:$A$502)</f>
        <v/>
      </c>
      <c r="E19" s="22" t="inlineStr">
        <is>
          <t>2. Stage = the furthest point you have reached. Move it forward as you progress.</t>
        </is>
      </c>
    </row>
    <row r="20" ht="15" customHeight="1" s="21">
      <c r="E20" s="22" t="inlineStr">
        <is>
          <t>3. Outcome = only fill this in when a role ends. Blank means it is still live.</t>
        </is>
      </c>
    </row>
    <row r="21" ht="19.5" customHeight="1" s="21">
      <c r="A21" s="20" t="inlineStr">
        <is>
          <t>ACTION NEEDED</t>
        </is>
      </c>
      <c r="E21" s="22" t="inlineStr">
        <is>
          <t>4. Days Since Applied fills itself in. It turns orange after 14 days with no outcome.</t>
        </is>
      </c>
    </row>
    <row r="22" ht="15" customHeight="1" s="21">
      <c r="A22" s="4" t="inlineStr">
        <is>
          <t>Applied in the last 7 days</t>
        </is>
      </c>
      <c r="B22" s="5">
        <f>COUNTIFS(Applications!$H$3:$H$502,"&gt;="&amp;TODAY()-7)</f>
        <v/>
      </c>
      <c r="E22" s="22" t="inlineStr">
        <is>
          <t>5. A Follow-Up Date turns red on the day it is due, so filter that column to plan your week.</t>
        </is>
      </c>
    </row>
    <row r="23" ht="15" customHeight="1" s="21">
      <c r="A23" s="4" t="inlineStr">
        <is>
          <t>Applied in the last 30 days</t>
        </is>
      </c>
      <c r="B23" s="5">
        <f>COUNTIFS(Applications!$H$3:$H$502,"&gt;="&amp;TODAY()-30)</f>
        <v/>
      </c>
      <c r="E23" s="22" t="inlineStr">
        <is>
          <t>6. Dropdown options live on the Lists tab — add your own values there any time.</t>
        </is>
      </c>
    </row>
    <row r="24" ht="15" customHeight="1" s="21">
      <c r="A24" s="4" t="inlineStr">
        <is>
          <t>Follow-ups due or overdue</t>
        </is>
      </c>
      <c r="B24" s="5">
        <f>SUMPRODUCT((Applications!$N$3:$N$502&lt;&gt;"")*(Applications!$N$3:$N$502&lt;=TODAY())*(Applications!$J$3:$J$502=""))</f>
        <v/>
      </c>
      <c r="E24" s="22" t="inlineStr">
        <is>
          <t>7. Use the filter arrows on row 2 to slice by stage, source, or priority.</t>
        </is>
      </c>
    </row>
    <row r="25" ht="15" customHeight="1" s="21">
      <c r="A25" s="4" t="inlineStr">
        <is>
          <t>Waiting 14+ days with no reply</t>
        </is>
      </c>
      <c r="B25" s="5">
        <f>SUMPRODUCT((Applications!$H$3:$H$502&lt;&gt;"")*(Applications!$H$3:$H$502&lt;TODAY()-14)*(Applications!$J$3:$J$502="")*(Applications!$I$3:$I$502="Applied"))</f>
        <v/>
      </c>
    </row>
    <row r="26" ht="15" customHeight="1" s="21">
      <c r="A26" s="4" t="inlineStr">
        <is>
          <t>High-priority roles still open</t>
        </is>
      </c>
      <c r="B26" s="5">
        <f>SUMPRODUCT((Applications!$R$3:$R$502="High")*(Applications!$J$3:$J$502=""))</f>
        <v/>
      </c>
    </row>
    <row r="30" ht="15" customHeight="1" s="21">
      <c r="A30" s="7" t="inlineStr">
        <is>
          <t>Note: dashboard formulas cover Applications rows 3–502. Extend the ranges if you add more than 500 roles.</t>
        </is>
      </c>
    </row>
  </sheetData>
  <mergeCells count="12">
    <mergeCell ref="E24:G24"/>
    <mergeCell ref="E22:G22"/>
    <mergeCell ref="E19:G19"/>
    <mergeCell ref="E23:G23"/>
    <mergeCell ref="E17:G17"/>
    <mergeCell ref="E18:G18"/>
    <mergeCell ref="E4:G4"/>
    <mergeCell ref="A21:C21"/>
    <mergeCell ref="E21:G21"/>
    <mergeCell ref="A12:C12"/>
    <mergeCell ref="A4:C4"/>
    <mergeCell ref="E20:G2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S502"/>
  <sheetViews>
    <sheetView tabSelected="1" zoomScaleNormal="100" workbookViewId="0">
      <pane xSplit="1" ySplit="2" topLeftCell="F6" activePane="bottomRight" state="frozen"/>
      <selection pane="topRight" activeCell="B1" sqref="B1"/>
      <selection pane="bottomLeft" activeCell="A3" sqref="A3"/>
      <selection pane="bottomRight" activeCell="J20" sqref="J20"/>
    </sheetView>
  </sheetViews>
  <sheetFormatPr baseColWidth="8" defaultColWidth="8.7109375" defaultRowHeight="15"/>
  <cols>
    <col width="22" customWidth="1" style="21" min="1" max="1"/>
    <col width="28" customWidth="1" style="21" min="2" max="2"/>
    <col width="18" customWidth="1" style="21" min="3" max="3"/>
    <col width="12" customWidth="1" style="21" min="4" max="4"/>
    <col width="16" customWidth="1" style="21" min="5" max="5"/>
    <col width="15" customWidth="1" style="21" min="6" max="6"/>
    <col width="30" customWidth="1" style="21" min="7" max="7"/>
    <col width="13" customWidth="1" style="21" min="8" max="8"/>
    <col width="14" customWidth="1" style="21" min="9" max="9"/>
    <col width="15" customWidth="1" style="21" min="10" max="10"/>
    <col width="10" customWidth="1" style="21" min="11" max="11"/>
    <col width="13" customWidth="1" style="21" min="12" max="12"/>
    <col width="26" customWidth="1" style="21" min="13" max="13"/>
    <col width="13" customWidth="1" style="21" min="14" max="14"/>
    <col width="18" customWidth="1" style="21" min="15" max="15"/>
    <col width="24" customWidth="1" style="21" min="16" max="16"/>
    <col width="16" customWidth="1" style="21" min="17" max="17"/>
    <col width="10" customWidth="1" style="21" min="18" max="18"/>
    <col width="45" customWidth="1" style="21" min="19" max="19"/>
  </cols>
  <sheetData>
    <row r="1" ht="21.75" customHeight="1" s="21">
      <c r="A1" s="8" t="inlineStr">
        <is>
          <t>JOB APPLICATION TRACKER</t>
        </is>
      </c>
      <c r="E1" s="2" t="inlineStr">
        <is>
          <t>Fill in every column except Days Since Applied (grey, auto-calculated). Row 3 is an example — overwrite or delete it.</t>
        </is>
      </c>
    </row>
    <row r="2" ht="30" customHeight="1" s="21">
      <c r="A2" s="9" t="inlineStr">
        <is>
          <t>Company</t>
        </is>
      </c>
      <c r="B2" s="9" t="inlineStr">
        <is>
          <t>Role / Title</t>
        </is>
      </c>
      <c r="C2" s="9" t="inlineStr">
        <is>
          <t>Location</t>
        </is>
      </c>
      <c r="D2" s="9" t="inlineStr">
        <is>
          <t>Work Setup</t>
        </is>
      </c>
      <c r="E2" s="9" t="inlineStr">
        <is>
          <t>Salary / Comp</t>
        </is>
      </c>
      <c r="F2" s="9" t="inlineStr">
        <is>
          <t>Source</t>
        </is>
      </c>
      <c r="G2" s="9" t="inlineStr">
        <is>
          <t>Job Link</t>
        </is>
      </c>
      <c r="H2" s="9" t="inlineStr">
        <is>
          <t>Date Applied</t>
        </is>
      </c>
      <c r="I2" s="9" t="inlineStr">
        <is>
          <t>Stage</t>
        </is>
      </c>
      <c r="J2" s="9" t="inlineStr">
        <is>
          <t>Outcome</t>
        </is>
      </c>
      <c r="K2" s="9" t="inlineStr">
        <is>
          <t>Days Since
Applied</t>
        </is>
      </c>
      <c r="L2" s="9" t="inlineStr">
        <is>
          <t>Last Contact</t>
        </is>
      </c>
      <c r="M2" s="9" t="inlineStr">
        <is>
          <t>Next Action</t>
        </is>
      </c>
      <c r="N2" s="9" t="inlineStr">
        <is>
          <t>Follow-Up Date</t>
        </is>
      </c>
      <c r="O2" s="9" t="inlineStr">
        <is>
          <t>Contact Name</t>
        </is>
      </c>
      <c r="P2" s="9" t="inlineStr">
        <is>
          <t>Contact Email</t>
        </is>
      </c>
      <c r="Q2" s="9" t="inlineStr">
        <is>
          <t>Resume Version</t>
        </is>
      </c>
      <c r="R2" s="9" t="inlineStr">
        <is>
          <t>Priority</t>
        </is>
      </c>
      <c r="S2" s="9" t="inlineStr">
        <is>
          <t>Notes</t>
        </is>
      </c>
    </row>
    <row r="3" ht="15" customHeight="1" s="21">
      <c r="A3" s="17" t="inlineStr">
        <is>
          <t>Detajl</t>
        </is>
      </c>
      <c r="B3" s="17" t="inlineStr">
        <is>
          <t>Civil Engineer – Designer (traffic/municipal infrastructure)</t>
        </is>
      </c>
      <c r="C3" s="17" t="inlineStr">
        <is>
          <t>Vipava, SI</t>
        </is>
      </c>
      <c r="D3" s="18" t="n"/>
      <c r="E3" s="17" t="n"/>
      <c r="F3" s="17" t="inlineStr">
        <is>
          <t>Job Board</t>
        </is>
      </c>
      <c r="G3" s="17" t="n"/>
      <c r="H3" s="19" t="n">
        <v>46231</v>
      </c>
      <c r="I3" s="18" t="inlineStr">
        <is>
          <t>Applied</t>
        </is>
      </c>
      <c r="J3" s="18" t="n"/>
      <c r="K3" s="10">
        <f>IF($H3="","",TODAY()-$H3)</f>
        <v/>
      </c>
      <c r="L3" s="19" t="n"/>
      <c r="M3" s="17" t="n"/>
      <c r="N3" s="19" t="n"/>
      <c r="O3" s="17" t="inlineStr">
        <is>
          <t>Marko Lavrenčič</t>
        </is>
      </c>
      <c r="P3" s="17" t="inlineStr">
        <is>
          <t>marko@detajl.eu</t>
        </is>
      </c>
      <c r="Q3" s="17" t="inlineStr">
        <is>
          <t>slovenia/2026_07_28_detajl_marko_lavrencic</t>
        </is>
      </c>
      <c r="R3" s="18" t="inlineStr">
        <is>
          <t>Medium</t>
        </is>
      </c>
      <c r="S3" s="17" t="inlineStr">
        <is>
          <t>Reg. RC23034. No driving license (candidate lacks one) — omitted, not raised.</t>
        </is>
      </c>
    </row>
    <row r="4" ht="15" customHeight="1" s="21">
      <c r="A4" s="17" t="inlineStr">
        <is>
          <t>Energetika Ljubljana (JHL)</t>
        </is>
      </c>
      <c r="B4" s="17" t="inlineStr">
        <is>
          <t>Planning Development Solutions (energy systems – heat/gas supply)</t>
        </is>
      </c>
      <c r="C4" s="17" t="inlineStr">
        <is>
          <t>Ljubljana, SI</t>
        </is>
      </c>
      <c r="D4" s="18" t="n"/>
      <c r="E4" s="17" t="n"/>
      <c r="F4" s="17" t="inlineStr">
        <is>
          <t>Job Board</t>
        </is>
      </c>
      <c r="G4" s="17" t="n"/>
      <c r="H4" s="19" t="n">
        <v>46231</v>
      </c>
      <c r="I4" s="18" t="inlineStr">
        <is>
          <t>Applied</t>
        </is>
      </c>
      <c r="J4" s="18" t="n"/>
      <c r="K4" s="14">
        <f>IF($H4="","",TODAY()-$H4)</f>
        <v/>
      </c>
      <c r="L4" s="19" t="n"/>
      <c r="M4" s="17" t="n"/>
      <c r="N4" s="19" t="n"/>
      <c r="O4" s="17" t="inlineStr">
        <is>
          <t>Janka Likosar</t>
        </is>
      </c>
      <c r="P4" s="17" t="inlineStr">
        <is>
          <t>kadri-jpe@jhl.si</t>
        </is>
      </c>
      <c r="Q4" s="17" t="inlineStr">
        <is>
          <t>slovenia/2026_07_28_energetika_ljubljana_janka_likosar</t>
        </is>
      </c>
      <c r="R4" s="18" t="inlineStr">
        <is>
          <t>Medium</t>
        </is>
      </c>
      <c r="S4" s="17" t="inlineStr">
        <is>
          <t>Reg. RD22005. Domain stretch (energy vs. BIM/civil) — leans on MEP coordination + energy-mgmt coursework.</t>
        </is>
      </c>
    </row>
    <row r="5" ht="15" customHeight="1" s="21">
      <c r="A5" s="17" t="inlineStr">
        <is>
          <t>Hidrotehnik</t>
        </is>
      </c>
      <c r="B5" s="17" t="inlineStr">
        <is>
          <t>Design Engineer – Water Management</t>
        </is>
      </c>
      <c r="C5" s="17" t="inlineStr">
        <is>
          <t>Ljubljana, SI</t>
        </is>
      </c>
      <c r="D5" s="18" t="inlineStr">
        <is>
          <t>Hybrid</t>
        </is>
      </c>
      <c r="E5" s="17" t="n"/>
      <c r="F5" s="17" t="inlineStr">
        <is>
          <t>Job Board</t>
        </is>
      </c>
      <c r="G5" s="17" t="n"/>
      <c r="H5" s="19" t="n">
        <v>46231</v>
      </c>
      <c r="I5" s="18" t="inlineStr">
        <is>
          <t>Applied</t>
        </is>
      </c>
      <c r="J5" s="18" t="n"/>
      <c r="K5" s="14">
        <f>IF($H5="","",TODAY()-$H5)</f>
        <v/>
      </c>
      <c r="L5" s="19" t="n"/>
      <c r="M5" s="17" t="n"/>
      <c r="N5" s="19" t="n"/>
      <c r="O5" s="17" t="inlineStr">
        <is>
          <t>Matthew B.</t>
        </is>
      </c>
      <c r="P5" s="17" t="inlineStr">
        <is>
          <t>info@hidrotehnik.si</t>
        </is>
      </c>
      <c r="Q5" s="17" t="inlineStr">
        <is>
          <t>slovenia/2026_07_28_hidrotehnik_matthew_b</t>
        </is>
      </c>
      <c r="R5" s="18" t="inlineStr">
        <is>
          <t>Medium</t>
        </is>
      </c>
      <c r="S5" s="17" t="inlineStr">
        <is>
          <t>Reg. RD21686. Honest about &lt;2yr experience gap and A1 Slovene vs. required fluent.</t>
        </is>
      </c>
    </row>
    <row r="6" ht="15" customHeight="1" s="21">
      <c r="A6" s="17" t="inlineStr">
        <is>
          <t>Atrij</t>
        </is>
      </c>
      <c r="B6" s="17" t="inlineStr">
        <is>
          <t>Speculative – BIM/digitalization pitch (advertised role: building-structures drafter)</t>
        </is>
      </c>
      <c r="C6" s="17" t="inlineStr">
        <is>
          <t>Odranci, SI</t>
        </is>
      </c>
      <c r="D6" s="18" t="n"/>
      <c r="E6" s="17" t="n"/>
      <c r="F6" s="17" t="inlineStr">
        <is>
          <t>Job Board</t>
        </is>
      </c>
      <c r="G6" s="17" t="n"/>
      <c r="H6" s="19" t="n">
        <v>46231</v>
      </c>
      <c r="I6" s="18" t="inlineStr">
        <is>
          <t>Applied</t>
        </is>
      </c>
      <c r="J6" s="18" t="n"/>
      <c r="K6" s="14">
        <f>IF($H6="","",TODAY()-$H6)</f>
        <v/>
      </c>
      <c r="L6" s="19" t="n"/>
      <c r="M6" s="17" t="n"/>
      <c r="N6" s="19" t="n"/>
      <c r="O6" s="17" t="inlineStr">
        <is>
          <t>Nina Kolarič Tibaut</t>
        </is>
      </c>
      <c r="P6" s="17" t="inlineStr">
        <is>
          <t>atrij@atrij.si</t>
        </is>
      </c>
      <c r="Q6" s="17" t="inlineStr">
        <is>
          <t>slovenia/2026_07_28_atrij_nina_kolaric_tibaut</t>
        </is>
      </c>
      <c r="R6" s="18" t="inlineStr">
        <is>
          <t>Low</t>
        </is>
      </c>
      <c r="S6" s="17" t="inlineStr">
        <is>
          <t>Reg. RC87935 (advertised role skipped, not a match). Speculative pitch — 10-person firm, no existing BIM function.</t>
        </is>
      </c>
    </row>
    <row r="7" ht="15" customHeight="1" s="21">
      <c r="A7" s="17" t="inlineStr">
        <is>
          <t>RMB Modul</t>
        </is>
      </c>
      <c r="B7" s="17" t="inlineStr">
        <is>
          <t>Cost Estimation / 5D Quantity Take-off</t>
        </is>
      </c>
      <c r="C7" s="17" t="inlineStr">
        <is>
          <t>Velika Polana, SI</t>
        </is>
      </c>
      <c r="D7" s="18" t="n"/>
      <c r="E7" s="17" t="n"/>
      <c r="F7" s="17" t="inlineStr">
        <is>
          <t>Job Board</t>
        </is>
      </c>
      <c r="G7" s="17" t="n"/>
      <c r="H7" s="19" t="n">
        <v>46231</v>
      </c>
      <c r="I7" s="18" t="inlineStr">
        <is>
          <t>Applied</t>
        </is>
      </c>
      <c r="J7" s="18" t="n"/>
      <c r="K7" s="14">
        <f>IF($H7="","",TODAY()-$H7)</f>
        <v/>
      </c>
      <c r="L7" s="19" t="n"/>
      <c r="M7" s="17" t="n"/>
      <c r="N7" s="19" t="n"/>
      <c r="O7" s="17" t="inlineStr">
        <is>
          <t>Stojan Špitalar</t>
        </is>
      </c>
      <c r="P7" s="17" t="inlineStr">
        <is>
          <t>stojan@rmbmodul.com</t>
        </is>
      </c>
      <c r="Q7" s="17" t="inlineStr">
        <is>
          <t>slovenia/2026_07_28_rmb_modul_stojan_spitalar</t>
        </is>
      </c>
      <c r="R7" s="18" t="inlineStr">
        <is>
          <t>Medium</t>
        </is>
      </c>
      <c r="S7" s="17" t="inlineStr">
        <is>
          <t>Reg. PZ46034. Strong content match (5D QTO). Honest that candidate has zero German (posting states mandatory).</t>
        </is>
      </c>
    </row>
    <row r="8" ht="15" customHeight="1" s="21">
      <c r="A8" s="17" t="inlineStr">
        <is>
          <t>HNG d.o.o.</t>
        </is>
      </c>
      <c r="B8" s="17" t="inlineStr">
        <is>
          <t>Student Work – Inventory of Water Facilities, Devices &amp; Arrangements</t>
        </is>
      </c>
      <c r="C8" s="17" t="inlineStr">
        <is>
          <t>Mengeš, SI</t>
        </is>
      </c>
      <c r="D8" s="18" t="inlineStr">
        <is>
          <t>Hybrid</t>
        </is>
      </c>
      <c r="E8" s="17" t="n"/>
      <c r="F8" s="17" t="inlineStr">
        <is>
          <t>Job Board</t>
        </is>
      </c>
      <c r="G8" s="17" t="inlineStr">
        <is>
          <t>https://popr.uni-lj.si/student/employers.html?employer=441557&amp;page=employer</t>
        </is>
      </c>
      <c r="H8" s="19" t="n">
        <v>46231</v>
      </c>
      <c r="I8" s="18" t="inlineStr">
        <is>
          <t>Applied</t>
        </is>
      </c>
      <c r="J8" s="18" t="n"/>
      <c r="K8" s="14">
        <f>IF($H8="","",TODAY()-$H8)</f>
        <v/>
      </c>
      <c r="L8" s="19" t="n"/>
      <c r="M8" s="17" t="n"/>
      <c r="N8" s="19" t="n"/>
      <c r="O8" s="17" t="n"/>
      <c r="P8" s="17" t="n"/>
      <c r="Q8" s="17" t="inlineStr">
        <is>
          <t>slovenia/2026_07_28_hng_doo</t>
        </is>
      </c>
      <c r="R8" s="18" t="inlineStr">
        <is>
          <t>Medium</t>
        </is>
      </c>
      <c r="S8" s="17" t="inlineStr">
        <is>
          <t>Student-work listing via UL popr portal (no email; apply through portal). Surfaced real ArcGIS/hydrology coursework.</t>
        </is>
      </c>
    </row>
    <row r="9" ht="15" customHeight="1" s="21">
      <c r="A9" s="17" t="inlineStr">
        <is>
          <t>Zagožen d.o.o.</t>
        </is>
      </c>
      <c r="B9" s="17" t="inlineStr">
        <is>
          <t>Utility/Civil/Mechanical Engineer – utility infrastructure</t>
        </is>
      </c>
      <c r="C9" s="17" t="inlineStr">
        <is>
          <t>Žalec, SI</t>
        </is>
      </c>
      <c r="D9" s="18" t="n"/>
      <c r="E9" s="17" t="n"/>
      <c r="F9" s="17" t="inlineStr">
        <is>
          <t>Job Board</t>
        </is>
      </c>
      <c r="G9" s="17" t="inlineStr">
        <is>
          <t>https://popr.uni-lj.si/student/employers.html?employer=441554&amp;page=employer</t>
        </is>
      </c>
      <c r="H9" s="19" t="n">
        <v>46231</v>
      </c>
      <c r="I9" s="18" t="inlineStr">
        <is>
          <t>Applied</t>
        </is>
      </c>
      <c r="J9" s="18" t="n"/>
      <c r="K9" s="14">
        <f>IF($H9="","",TODAY()-$H9)</f>
        <v/>
      </c>
      <c r="L9" s="19" t="n"/>
      <c r="M9" s="17" t="n"/>
      <c r="N9" s="19" t="n"/>
      <c r="O9" s="17" t="inlineStr">
        <is>
          <t>Kadrovska služba (HR)</t>
        </is>
      </c>
      <c r="P9" s="17" t="n"/>
      <c r="Q9" s="17" t="inlineStr">
        <is>
          <t>slovenia/2026_07_28_zagozen_doo</t>
        </is>
      </c>
      <c r="R9" s="18" t="inlineStr">
        <is>
          <t>High</t>
        </is>
      </c>
      <c r="S9" s="17" t="inlineStr">
        <is>
          <t>Full-time, explicitly targets 0-2 yrs experience. Water/sewage infrastructure — strong natural fit. UL popr portal.</t>
        </is>
      </c>
    </row>
    <row r="10" ht="15" customHeight="1" s="21">
      <c r="A10" s="17" t="inlineStr">
        <is>
          <t>Saning d.o.o.</t>
        </is>
      </c>
      <c r="B10" s="17" t="inlineStr">
        <is>
          <t>Speculative – BIM/digitalization pitch (advertised role: site operations manager)</t>
        </is>
      </c>
      <c r="C10" s="17" t="inlineStr">
        <is>
          <t>Kranj, SI</t>
        </is>
      </c>
      <c r="D10" s="18" t="n"/>
      <c r="E10" s="17" t="n"/>
      <c r="F10" s="17" t="inlineStr">
        <is>
          <t>Job Board</t>
        </is>
      </c>
      <c r="G10" s="17" t="inlineStr">
        <is>
          <t>https://popr.uni-lj.si/student/employers.html?employer=441546&amp;page=employer</t>
        </is>
      </c>
      <c r="H10" s="19" t="n">
        <v>46231</v>
      </c>
      <c r="I10" s="18" t="inlineStr">
        <is>
          <t>Applied</t>
        </is>
      </c>
      <c r="J10" s="18" t="n"/>
      <c r="K10" s="14">
        <f>IF($H10="","",TODAY()-$H10)</f>
        <v/>
      </c>
      <c r="L10" s="19" t="n"/>
      <c r="M10" s="17" t="n"/>
      <c r="N10" s="19" t="n"/>
      <c r="O10" s="17" t="n"/>
      <c r="P10" s="17" t="n"/>
      <c r="Q10" s="17" t="inlineStr">
        <is>
          <t>slovenia/2026_07_28_saning_doo</t>
        </is>
      </c>
      <c r="R10" s="18" t="inlineStr">
        <is>
          <t>Low</t>
        </is>
      </c>
      <c r="S10" s="17" t="inlineStr">
        <is>
          <t>Advertised role skipped as mismatch. Speculative pitch — no existing BIM function despite larger multi-country group.</t>
        </is>
      </c>
    </row>
    <row r="11" ht="15" customHeight="1" s="21">
      <c r="A11" s="17" t="inlineStr">
        <is>
          <t>DOTES d.o.o.</t>
        </is>
      </c>
      <c r="B11" s="17" t="inlineStr">
        <is>
          <t>Speculative – BIM/digitalization pitch (advertised: scholarship for enrolled students)</t>
        </is>
      </c>
      <c r="C11" s="17" t="inlineStr">
        <is>
          <t>Dolenja vas, SI</t>
        </is>
      </c>
      <c r="D11" s="18" t="n"/>
      <c r="E11" s="17" t="n"/>
      <c r="F11" s="17" t="inlineStr">
        <is>
          <t>Job Board</t>
        </is>
      </c>
      <c r="G11" s="17" t="inlineStr">
        <is>
          <t>https://popr.uni-lj.si/student/employers.html?employer=441544&amp;page=employer</t>
        </is>
      </c>
      <c r="H11" s="19" t="n">
        <v>46231</v>
      </c>
      <c r="I11" s="18" t="inlineStr">
        <is>
          <t>Applied</t>
        </is>
      </c>
      <c r="J11" s="18" t="n"/>
      <c r="K11" s="14">
        <f>IF($H11="","",TODAY()-$H11)</f>
        <v/>
      </c>
      <c r="L11" s="19" t="n"/>
      <c r="M11" s="17" t="n"/>
      <c r="N11" s="19" t="n"/>
      <c r="O11" s="17" t="n"/>
      <c r="P11" s="17" t="inlineStr">
        <is>
          <t>info@dotes.si</t>
        </is>
      </c>
      <c r="Q11" s="17" t="inlineStr">
        <is>
          <t>slovenia/2026_07_28_dotes_doo</t>
        </is>
      </c>
      <c r="R11" s="18" t="inlineStr">
        <is>
          <t>Low</t>
        </is>
      </c>
      <c r="S11" s="17" t="inlineStr">
        <is>
          <t>Scholarship required proof of enrollment — ineligible post-graduation. Redirected to speculative BIM pitch, hooked on their new 3D-visualization service.</t>
        </is>
      </c>
    </row>
    <row r="12" ht="15" customHeight="1" s="21">
      <c r="A12" s="17" t="inlineStr">
        <is>
          <t>IKB d.o.o.</t>
        </is>
      </c>
      <c r="B12" s="17" t="inlineStr">
        <is>
          <t>Civil Engineer, Designer (Building Structures / BIM A+)</t>
        </is>
      </c>
      <c r="C12" s="17" t="inlineStr">
        <is>
          <t>Ljubljana, SI</t>
        </is>
      </c>
      <c r="D12" s="18" t="n"/>
      <c r="E12" s="17" t="n"/>
      <c r="F12" s="17" t="inlineStr">
        <is>
          <t>Job Board</t>
        </is>
      </c>
      <c r="G12" s="17" t="n"/>
      <c r="H12" s="19" t="n">
        <v>46231</v>
      </c>
      <c r="I12" s="18" t="inlineStr">
        <is>
          <t>Applied</t>
        </is>
      </c>
      <c r="J12" s="18" t="n"/>
      <c r="K12" s="14">
        <f>IF($H12="","",TODAY()-$H12)</f>
        <v/>
      </c>
      <c r="L12" s="19" t="n"/>
      <c r="M12" s="17" t="n"/>
      <c r="N12" s="19" t="n"/>
      <c r="O12" s="17" t="inlineStr">
        <is>
          <t>Dejan Batistič</t>
        </is>
      </c>
      <c r="P12" s="17" t="inlineStr">
        <is>
          <t>dejan@ikb.si</t>
        </is>
      </c>
      <c r="Q12" s="17" t="inlineStr">
        <is>
          <t>slovenia/2026_07_28_ikb_dejan_batistic</t>
        </is>
      </c>
      <c r="R12" s="18" t="inlineStr">
        <is>
          <t>High</t>
        </is>
      </c>
      <c r="S12" s="17" t="inlineStr">
        <is>
          <t>Near-exact match — posting names 'BIM A+' by name as a qualifying major, which is the candidate's literal degree.</t>
        </is>
      </c>
    </row>
    <row r="13" ht="15" customHeight="1" s="21">
      <c r="A13" s="17" t="inlineStr">
        <is>
          <t>Protim Ržišnik Perc</t>
        </is>
      </c>
      <c r="B13" s="17" t="inlineStr">
        <is>
          <t>Mechanical Installation Designer (sprinkler systems)</t>
        </is>
      </c>
      <c r="C13" s="17" t="inlineStr">
        <is>
          <t>Šenčur, SI</t>
        </is>
      </c>
      <c r="D13" s="18" t="inlineStr">
        <is>
          <t>Hybrid</t>
        </is>
      </c>
      <c r="E13" s="17" t="n"/>
      <c r="F13" s="17" t="inlineStr">
        <is>
          <t>Job Board</t>
        </is>
      </c>
      <c r="G13" s="17" t="n"/>
      <c r="H13" s="19" t="n">
        <v>46232</v>
      </c>
      <c r="I13" s="18" t="inlineStr">
        <is>
          <t>Applied</t>
        </is>
      </c>
      <c r="J13" s="18" t="n"/>
      <c r="K13" s="14">
        <f>IF($H13="","",TODAY()-$H13)</f>
        <v/>
      </c>
      <c r="L13" s="19" t="n"/>
      <c r="M13" s="17" t="n"/>
      <c r="N13" s="19" t="n"/>
      <c r="O13" s="17" t="inlineStr">
        <is>
          <t>Tina Brojan</t>
        </is>
      </c>
      <c r="P13" s="17" t="inlineStr">
        <is>
          <t>tina.brojan@rp.si</t>
        </is>
      </c>
      <c r="Q13" s="17" t="inlineStr">
        <is>
          <t>slovenia/2026_07_29_protim_rzisnik_perc_tina_brojan</t>
        </is>
      </c>
      <c r="R13" s="18" t="inlineStr">
        <is>
          <t>Medium</t>
        </is>
      </c>
      <c r="S13" s="17" t="inlineStr">
        <is>
          <t>Strong BIM/MEP overlap but formal degree mismatch (mechanical vs. civil) — addressed honestly.</t>
        </is>
      </c>
    </row>
    <row r="14" ht="15" customHeight="1" s="21">
      <c r="A14" s="17" t="inlineStr">
        <is>
          <t>BOSON d.o.o.</t>
        </is>
      </c>
      <c r="B14" s="17" t="inlineStr">
        <is>
          <t>Civil Engineer – Designer for Building Construction</t>
        </is>
      </c>
      <c r="C14" s="17" t="inlineStr">
        <is>
          <t>Ljubljana, SI</t>
        </is>
      </c>
      <c r="D14" s="18" t="inlineStr">
        <is>
          <t>On-site</t>
        </is>
      </c>
      <c r="E14" s="17" t="n"/>
      <c r="F14" s="17" t="inlineStr">
        <is>
          <t>Job Board</t>
        </is>
      </c>
      <c r="G14" s="17" t="n"/>
      <c r="H14" s="19" t="n">
        <v>46232</v>
      </c>
      <c r="I14" s="18" t="inlineStr">
        <is>
          <t>Applied</t>
        </is>
      </c>
      <c r="J14" s="18" t="n"/>
      <c r="K14" s="14">
        <f>IF($H14="","",TODAY()-$H14)</f>
        <v/>
      </c>
      <c r="L14" s="19" t="n"/>
      <c r="M14" s="17" t="n"/>
      <c r="N14" s="19" t="n"/>
      <c r="O14" s="17" t="inlineStr">
        <is>
          <t>Dr. Aljoša J. Tahir</t>
        </is>
      </c>
      <c r="P14" s="17" t="inlineStr">
        <is>
          <t>zaposlitev@boson.si</t>
        </is>
      </c>
      <c r="Q14" s="17" t="inlineStr">
        <is>
          <t>slovenia/2026_07_29_boson_aljosa_tahir</t>
        </is>
      </c>
      <c r="R14" s="18" t="inlineStr">
        <is>
          <t>Medium</t>
        </is>
      </c>
      <c r="S14" s="17" t="inlineStr">
        <is>
          <t>Same role type as Detajl (traffic/municipal infrastructure design).</t>
        </is>
      </c>
    </row>
    <row r="15" ht="15" customHeight="1" s="21">
      <c r="A15" s="17" t="inlineStr">
        <is>
          <t>Standard d.o.o.</t>
        </is>
      </c>
      <c r="B15" s="17" t="inlineStr">
        <is>
          <t>Designer – Civil Construction (infrastructure facilities)</t>
        </is>
      </c>
      <c r="C15" s="17" t="inlineStr">
        <is>
          <t>Ljubljana, SI</t>
        </is>
      </c>
      <c r="D15" s="18" t="n"/>
      <c r="E15" s="17" t="n"/>
      <c r="F15" s="17" t="inlineStr">
        <is>
          <t>Job Board</t>
        </is>
      </c>
      <c r="G15" s="17" t="n"/>
      <c r="H15" s="19" t="n">
        <v>46232</v>
      </c>
      <c r="I15" s="18" t="inlineStr">
        <is>
          <t>Applied</t>
        </is>
      </c>
      <c r="J15" s="18" t="n"/>
      <c r="K15" s="14">
        <f>IF($H15="","",TODAY()-$H15)</f>
        <v/>
      </c>
      <c r="L15" s="19" t="n"/>
      <c r="M15" s="17" t="n"/>
      <c r="N15" s="19" t="n"/>
      <c r="O15" s="17" t="inlineStr">
        <is>
          <t>Peter Berglez</t>
        </is>
      </c>
      <c r="P15" s="17" t="inlineStr">
        <is>
          <t>peter.berglez@standard.si</t>
        </is>
      </c>
      <c r="Q15" s="17" t="inlineStr">
        <is>
          <t>slovenia/2026_07_29_standard_peter_berglez</t>
        </is>
      </c>
      <c r="R15" s="18" t="inlineStr">
        <is>
          <t>Medium</t>
        </is>
      </c>
      <c r="S15" s="17" t="inlineStr">
        <is>
          <t>Modest requirements (AutoCAD, MS Office); experience only 'desirable'. Approachable fit.</t>
        </is>
      </c>
    </row>
    <row r="16" ht="15" customHeight="1" s="21">
      <c r="A16" s="17" t="inlineStr">
        <is>
          <t>LynxCraft</t>
        </is>
      </c>
      <c r="B16" s="17" t="inlineStr">
        <is>
          <t>Follow-up – student work (no formal posting)</t>
        </is>
      </c>
      <c r="C16" s="17" t="inlineStr">
        <is>
          <t>Ljubljana, SI</t>
        </is>
      </c>
      <c r="D16" s="18" t="n"/>
      <c r="E16" s="17" t="n"/>
      <c r="F16" s="17" t="inlineStr">
        <is>
          <t>Networking</t>
        </is>
      </c>
      <c r="G16" s="17" t="n"/>
      <c r="H16" s="19" t="n">
        <v>46232</v>
      </c>
      <c r="I16" s="18" t="inlineStr">
        <is>
          <t>Applied</t>
        </is>
      </c>
      <c r="J16" s="18" t="inlineStr">
        <is>
          <t>Rejected</t>
        </is>
      </c>
      <c r="K16" s="14">
        <f>IF($H16="","",TODAY()-$H16)</f>
        <v/>
      </c>
      <c r="L16" s="19" t="n"/>
      <c r="M16" s="17" t="n"/>
      <c r="N16" s="19" t="n"/>
      <c r="O16" s="17" t="inlineStr">
        <is>
          <t>Iztok Šušteršič</t>
        </is>
      </c>
      <c r="P16" s="17" t="inlineStr">
        <is>
          <t>iztok@lynx-craft.com</t>
        </is>
      </c>
      <c r="Q16" s="17" t="inlineStr">
        <is>
          <t>slovenia/2026_07_29_lynxcraft_iztok_sustersic</t>
        </is>
      </c>
      <c r="R16" s="18" t="inlineStr">
        <is>
          <t>High</t>
        </is>
      </c>
      <c r="S16" s="17" t="inlineStr">
        <is>
          <t>Warm contact — interviewed March 2026; founder said 'collaborate once funded'. Follow-up re: graduation + ~2mo student availability.</t>
        </is>
      </c>
    </row>
    <row r="17" ht="15" customHeight="1" s="21">
      <c r="A17" s="17" t="inlineStr">
        <is>
          <t>Kolektor Construction</t>
        </is>
      </c>
      <c r="B17" s="17" t="inlineStr">
        <is>
          <t>Outreach – student work, intro to other departments (no formal posting)</t>
        </is>
      </c>
      <c r="C17" s="17" t="inlineStr">
        <is>
          <t>Logatec, SI</t>
        </is>
      </c>
      <c r="D17" s="18" t="n"/>
      <c r="E17" s="17" t="n"/>
      <c r="F17" s="17" t="inlineStr">
        <is>
          <t>Networking</t>
        </is>
      </c>
      <c r="G17" s="17" t="n"/>
      <c r="H17" s="19" t="n">
        <v>46232</v>
      </c>
      <c r="I17" s="18" t="inlineStr">
        <is>
          <t>Applied</t>
        </is>
      </c>
      <c r="J17" s="18" t="n"/>
      <c r="K17" s="14">
        <f>IF($H17="","",TODAY()-$H17)</f>
        <v/>
      </c>
      <c r="L17" s="19" t="n"/>
      <c r="M17" s="17" t="n"/>
      <c r="N17" s="19" t="n"/>
      <c r="O17" s="17" t="inlineStr">
        <is>
          <t>Metod Gaber</t>
        </is>
      </c>
      <c r="P17" s="17" t="inlineStr">
        <is>
          <t>Metod.Gaber@kolektor.com</t>
        </is>
      </c>
      <c r="Q17" s="17" t="inlineStr">
        <is>
          <t>slovenia/2026_07_29_kolektor_construction_metod_gaber</t>
        </is>
      </c>
      <c r="R17" s="18" t="inlineStr">
        <is>
          <t>High</t>
        </is>
      </c>
      <c r="S17" s="17" t="inlineStr">
        <is>
          <t>Very warm personal contact; Metod is an active BIM figure at Kolektor (BIMpogovori podcast). Asked for dept. introductions + Slovene commitment (fluent within 2 years).</t>
        </is>
      </c>
    </row>
    <row r="18" ht="15" customHeight="1" s="21">
      <c r="A18" s="17" t="inlineStr">
        <is>
          <t>DCT Group</t>
        </is>
      </c>
      <c r="B18" s="17" t="inlineStr">
        <is>
          <t>BIM Coordinator (Porto office)</t>
        </is>
      </c>
      <c r="C18" s="17" t="inlineStr">
        <is>
          <t>Porto, PT</t>
        </is>
      </c>
      <c r="D18" s="18" t="inlineStr">
        <is>
          <t>Hybrid</t>
        </is>
      </c>
      <c r="E18" s="17" t="n"/>
      <c r="F18" s="17" t="inlineStr">
        <is>
          <t>Company Site</t>
        </is>
      </c>
      <c r="G18" s="17" t="n"/>
      <c r="H18" s="19" t="n">
        <v>46234</v>
      </c>
      <c r="I18" s="18" t="inlineStr">
        <is>
          <t>Applied</t>
        </is>
      </c>
      <c r="J18" s="18" t="n"/>
      <c r="K18" s="14">
        <f>IF($H18="","",TODAY()-$H18)</f>
        <v/>
      </c>
      <c r="L18" s="19" t="n"/>
      <c r="M18" s="17" t="n"/>
      <c r="N18" s="19" t="n"/>
      <c r="O18" s="17" t="n"/>
      <c r="P18" s="17" t="n"/>
      <c r="Q18" s="17" t="inlineStr">
        <is>
          <t>portugal/2026_07_31_dct</t>
        </is>
      </c>
      <c r="R18" s="18" t="inlineStr">
        <is>
          <t>High</t>
        </is>
      </c>
      <c r="S18" s="17" t="inlineStr">
        <is>
          <t>Strong match — federated model/clash detection/5D QTO/scan-to-BIM point-cloud all directly relevant. Applied via careers page; open to EU relocation.</t>
        </is>
      </c>
    </row>
    <row r="19" ht="15" customHeight="1" s="21">
      <c r="A19" s="17" t="inlineStr">
        <is>
          <t>Sweco</t>
        </is>
      </c>
      <c r="B19" s="17" t="inlineStr">
        <is>
          <t>Junior Systems Engineer (Information Engineering)</t>
        </is>
      </c>
      <c r="C19" s="17" t="inlineStr">
        <is>
          <t>Netherlands</t>
        </is>
      </c>
      <c r="D19" s="18" t="inlineStr">
        <is>
          <t>Hybrid</t>
        </is>
      </c>
      <c r="E19" s="17" t="n"/>
      <c r="F19" s="17" t="inlineStr">
        <is>
          <t>Company Site</t>
        </is>
      </c>
      <c r="G19" s="17" t="n"/>
      <c r="H19" s="19" t="n">
        <v>46236</v>
      </c>
      <c r="I19" s="18" t="inlineStr">
        <is>
          <t>Applied</t>
        </is>
      </c>
      <c r="J19" s="18" t="n"/>
      <c r="K19" s="14">
        <f>IF($H19="","",TODAY()-$H19)</f>
        <v/>
      </c>
      <c r="L19" s="19" t="n"/>
      <c r="M19" s="17" t="n"/>
      <c r="N19" s="19" t="n"/>
      <c r="O19" s="17" t="inlineStr">
        <is>
          <t>David Peters</t>
        </is>
      </c>
      <c r="P19" s="17" t="inlineStr">
        <is>
          <t>david.peters@sweco.nl</t>
        </is>
      </c>
      <c r="Q19" s="17" t="inlineStr">
        <is>
          <t>netherlands/2026_08_02_sweco_david_peters</t>
        </is>
      </c>
      <c r="R19" s="18" t="inlineStr">
        <is>
          <t>Medium</t>
        </is>
      </c>
      <c r="S19" s="17" t="inlineStr">
        <is>
          <t>0-3 yrs target. Strong conceptual fit (requirements/traceability/verification). Honest that candidate has zero Dutch vs. required 'at least C1'.</t>
        </is>
      </c>
    </row>
    <row r="20" ht="15" customHeight="1" s="21">
      <c r="A20" s="17" t="inlineStr">
        <is>
          <t>Sweco</t>
        </is>
      </c>
      <c r="B20" s="17" t="inlineStr">
        <is>
          <t>Junior BIM Modeller – Urban Projects Alkmaar</t>
        </is>
      </c>
      <c r="C20" s="17" t="inlineStr">
        <is>
          <t>Alkmaar, NL</t>
        </is>
      </c>
      <c r="D20" s="18" t="inlineStr">
        <is>
          <t>Hybrid</t>
        </is>
      </c>
      <c r="E20" s="17" t="n"/>
      <c r="F20" s="17" t="inlineStr">
        <is>
          <t>Company Site</t>
        </is>
      </c>
      <c r="G20" s="17" t="inlineStr">
        <is>
          <t>https://www.sweco.nl/solliciteren/?vacancy=39969</t>
        </is>
      </c>
      <c r="H20" s="19" t="n">
        <v>46236</v>
      </c>
      <c r="I20" s="18" t="inlineStr">
        <is>
          <t>Applied</t>
        </is>
      </c>
      <c r="J20" s="18" t="inlineStr">
        <is>
          <t>Rejected</t>
        </is>
      </c>
      <c r="K20" s="14">
        <f>IF($H20="","",TODAY()-$H20)</f>
        <v/>
      </c>
      <c r="L20" s="19" t="n"/>
      <c r="M20" s="17" t="n"/>
      <c r="N20" s="19" t="n"/>
      <c r="O20" s="17" t="inlineStr">
        <is>
          <t>Bart Witte</t>
        </is>
      </c>
      <c r="P20" s="17" t="inlineStr">
        <is>
          <t>bart.witte@sweco.nl</t>
        </is>
      </c>
      <c r="Q20" s="17" t="inlineStr">
        <is>
          <t>netherlands/2026_08_02_sweco_bart_witte</t>
        </is>
      </c>
      <c r="R20" s="18" t="inlineStr">
        <is>
          <t>Medium</t>
        </is>
      </c>
      <c r="S20" s="17" t="inlineStr">
        <is>
          <t>Best skills-match posting overall (Revit/AutoCAD modelling). Same Dutch C1 gap as the Systems Engineer role.</t>
        </is>
      </c>
    </row>
    <row r="21" ht="15" customHeight="1" s="21">
      <c r="A21" s="17" t="inlineStr">
        <is>
          <t>Sweco</t>
        </is>
      </c>
      <c r="B21" s="17" t="inlineStr">
        <is>
          <t>AI and BIM Subject Manager / Head of Department (Rail, Bridge &amp; Tunnel)</t>
        </is>
      </c>
      <c r="C21" s="17" t="inlineStr">
        <is>
          <t>Ørestad (Copenhagen), DK</t>
        </is>
      </c>
      <c r="D21" s="18" t="inlineStr"/>
      <c r="E21" s="17" t="inlineStr"/>
      <c r="F21" s="17" t="inlineStr">
        <is>
          <t>Company Site</t>
        </is>
      </c>
      <c r="G21" s="17" t="inlineStr"/>
      <c r="H21" s="19" t="n">
        <v>46237</v>
      </c>
      <c r="I21" s="18" t="inlineStr">
        <is>
          <t>Applied</t>
        </is>
      </c>
      <c r="J21" s="18" t="inlineStr"/>
      <c r="K21" s="14">
        <f>IF($H21="","",TODAY()-$H21)</f>
        <v/>
      </c>
      <c r="L21" s="19" t="inlineStr"/>
      <c r="M21" s="17" t="inlineStr"/>
      <c r="N21" s="19" t="inlineStr"/>
      <c r="O21" s="17" t="inlineStr"/>
      <c r="P21" s="17" t="inlineStr"/>
      <c r="Q21" s="17" t="inlineStr">
        <is>
          <t>denmark/2026_08_03_sweco_head_of_bim_ai</t>
        </is>
      </c>
      <c r="R21" s="18" t="inlineStr">
        <is>
          <t>Low</t>
        </is>
      </c>
      <c r="S21" s="17" t="inlineStr">
        <is>
          <t>Long-shot per user request — senior Head of Department role requiring solid infrastructure/leadership experience candidate lacks. Leans on BIMGraphExplorer (LLM agent) + Autodesk ACC as genuine overlap. No named contact given.</t>
        </is>
      </c>
    </row>
    <row r="22" ht="15" customHeight="1" s="21">
      <c r="A22" s="17" t="inlineStr">
        <is>
          <t>Sweco</t>
        </is>
      </c>
      <c r="B22" s="17" t="inlineStr">
        <is>
          <t>BIM Coordinator – Technical Building Equipment (m/f/x), Job No. S2921</t>
        </is>
      </c>
      <c r="C22" s="17" t="inlineStr">
        <is>
          <t>Munich, DE</t>
        </is>
      </c>
      <c r="D22" s="18" t="inlineStr"/>
      <c r="E22" s="17" t="inlineStr"/>
      <c r="F22" s="17" t="inlineStr">
        <is>
          <t>Company Site</t>
        </is>
      </c>
      <c r="G22" s="17" t="inlineStr">
        <is>
          <t>https://www.sweco-services.de/bms.nsf/Bewerbung?openform&amp;job=S2921</t>
        </is>
      </c>
      <c r="H22" s="19" t="n">
        <v>46237</v>
      </c>
      <c r="I22" s="18" t="inlineStr">
        <is>
          <t>Applied</t>
        </is>
      </c>
      <c r="J22" s="18" t="inlineStr"/>
      <c r="K22" s="14">
        <f>IF($H22="","",TODAY()-$H22)</f>
        <v/>
      </c>
      <c r="L22" s="19" t="inlineStr"/>
      <c r="M22" s="17" t="inlineStr"/>
      <c r="N22" s="19" t="inlineStr"/>
      <c r="O22" s="17" t="inlineStr"/>
      <c r="P22" s="17" t="inlineStr"/>
      <c r="Q22" s="17" t="inlineStr">
        <is>
          <t>germany/2026_08_03_sweco_munich_bim_coordinator</t>
        </is>
      </c>
      <c r="R22" s="18" t="inlineStr">
        <is>
          <t>Low</t>
        </is>
      </c>
      <c r="S22" s="17" t="inlineStr">
        <is>
          <t>Stacked gaps: several years experience required, LINEAR/ALPI software not held, German mandatory (candidate has none). Applied anyway, honest about all three. First German-market CV variant (DOB/nationality added, MM.YYYY dates, no photo — flagged not fabricated).</t>
        </is>
      </c>
    </row>
    <row r="23" ht="15" customHeight="1" s="21">
      <c r="A23" s="17" t="inlineStr">
        <is>
          <t>Bayards Aluminium Solutions</t>
        </is>
      </c>
      <c r="B23" s="17" t="inlineStr">
        <is>
          <t>Cost Proposal Engineer – Aluminium Solutions</t>
        </is>
      </c>
      <c r="C23" s="17" t="inlineStr">
        <is>
          <t>Nieuw-Lekkerland, NL</t>
        </is>
      </c>
      <c r="D23" s="18" t="inlineStr"/>
      <c r="E23" s="17" t="inlineStr"/>
      <c r="F23" s="17" t="inlineStr">
        <is>
          <t>Company Site</t>
        </is>
      </c>
      <c r="G23" s="17" t="inlineStr"/>
      <c r="H23" s="19" t="n">
        <v>46238</v>
      </c>
      <c r="I23" s="18" t="inlineStr">
        <is>
          <t>Applied</t>
        </is>
      </c>
      <c r="J23" s="18" t="inlineStr">
        <is>
          <t>Rejected</t>
        </is>
      </c>
      <c r="K23" s="14">
        <f>IF($H23="","",TODAY()-$H23)</f>
        <v/>
      </c>
      <c r="L23" s="19" t="inlineStr"/>
      <c r="M23" s="17" t="inlineStr"/>
      <c r="N23" s="19" t="inlineStr"/>
      <c r="O23" s="17" t="inlineStr"/>
      <c r="P23" s="17" t="inlineStr">
        <is>
          <t>work@bayards.com</t>
        </is>
      </c>
      <c r="Q23" s="17" t="inlineStr">
        <is>
          <t>netherlands/2026_08_04_bayards</t>
        </is>
      </c>
      <c r="R23" s="18" t="inlineStr">
        <is>
          <t>Medium</t>
        </is>
      </c>
      <c r="S23" s="17" t="inlineStr">
        <is>
          <t>Strong content match (5D QTO coursework, Contract Management internship pricing/contract review). Honest that candidate has zero Dutch vs. required proficiency in both Dutch and English.</t>
        </is>
      </c>
    </row>
    <row r="24" ht="15" customHeight="1" s="21">
      <c r="A24" s="17" t="inlineStr">
        <is>
          <t>Arup</t>
        </is>
      </c>
      <c r="B24" s="17" t="inlineStr">
        <is>
          <t>Junior Bridge Engineer (Bridge &amp; Civil Structures), Job AMS000074</t>
        </is>
      </c>
      <c r="C24" s="17" t="inlineStr">
        <is>
          <t>Amsterdam, NL</t>
        </is>
      </c>
      <c r="D24" s="18" t="inlineStr">
        <is>
          <t>Hybrid</t>
        </is>
      </c>
      <c r="E24" s="17" t="inlineStr"/>
      <c r="F24" s="17" t="inlineStr">
        <is>
          <t>Company Site</t>
        </is>
      </c>
      <c r="G24" s="17" t="inlineStr"/>
      <c r="H24" s="19" t="n">
        <v>46238</v>
      </c>
      <c r="I24" s="18" t="inlineStr">
        <is>
          <t>Applied</t>
        </is>
      </c>
      <c r="J24" s="18" t="inlineStr"/>
      <c r="K24" s="14">
        <f>IF($H24="","",TODAY()-$H24)</f>
        <v/>
      </c>
      <c r="L24" s="19" t="inlineStr"/>
      <c r="M24" s="17" t="inlineStr"/>
      <c r="N24" s="19" t="inlineStr"/>
      <c r="O24" s="17" t="inlineStr"/>
      <c r="P24" s="17" t="inlineStr"/>
      <c r="Q24" s="17" t="inlineStr">
        <is>
          <t>netherlands/2026_08_04_arup_junior_bridge_engineer</t>
        </is>
      </c>
      <c r="R24" s="18" t="inlineStr">
        <is>
          <t>Medium</t>
        </is>
      </c>
      <c r="S24" s="17" t="inlineStr">
        <is>
          <t>Junior-friendly seniority fit, but real gaps in FEM/structural calculations (candidate specializes in BIM coordination, not structural analysis) and Dutch B1 (candidate has none). Per user instruction, CV/letter do NOT disclose these gaps — lean only on genuine parametric-design/automation strengths.</t>
        </is>
      </c>
    </row>
    <row r="25" ht="15" customHeight="1" s="21">
      <c r="A25" s="17" t="inlineStr">
        <is>
          <t>Arup</t>
        </is>
      </c>
      <c r="B25" s="17" t="inlineStr">
        <is>
          <t>Junior Project Manager – Science, Industry &amp; Technology</t>
        </is>
      </c>
      <c r="C25" s="17" t="inlineStr">
        <is>
          <t>Frankfurt, DE</t>
        </is>
      </c>
      <c r="D25" s="18" t="inlineStr">
        <is>
          <t>Hybrid</t>
        </is>
      </c>
      <c r="E25" s="17" t="inlineStr"/>
      <c r="F25" s="17" t="inlineStr">
        <is>
          <t>Company Site</t>
        </is>
      </c>
      <c r="G25" s="17" t="inlineStr"/>
      <c r="H25" s="19" t="n">
        <v>46238</v>
      </c>
      <c r="I25" s="18" t="inlineStr">
        <is>
          <t>Applied</t>
        </is>
      </c>
      <c r="J25" s="18" t="inlineStr"/>
      <c r="K25" s="14">
        <f>IF($H25="","",TODAY()-$H25)</f>
        <v/>
      </c>
      <c r="L25" s="19" t="inlineStr"/>
      <c r="M25" s="17" t="inlineStr"/>
      <c r="N25" s="19" t="inlineStr"/>
      <c r="O25" s="17" t="inlineStr"/>
      <c r="P25" s="17" t="inlineStr"/>
      <c r="Q25" s="17" t="inlineStr">
        <is>
          <t>germany/2026_08_04_arup_frankfurt_junior_pm</t>
        </is>
      </c>
      <c r="R25" s="18" t="inlineStr">
        <is>
          <t>Medium</t>
        </is>
      </c>
      <c r="S25" s="17" t="inlineStr">
        <is>
          <t>Junior-friendly (internships/student activities explicitly welcomed). Real gap: "very good German" required, candidate has none. Per updated default, CV/letter do not disclose this gap.</t>
        </is>
      </c>
    </row>
    <row r="26" ht="15" customHeight="1" s="21">
      <c r="A26" s="17" t="inlineStr">
        <is>
          <t>Arup</t>
        </is>
      </c>
      <c r="B26" s="17" t="inlineStr">
        <is>
          <t>Assistant Computational Designer – Digital Team</t>
        </is>
      </c>
      <c r="C26" s="17" t="inlineStr">
        <is>
          <t>Milan, IT</t>
        </is>
      </c>
      <c r="D26" s="18" t="inlineStr"/>
      <c r="E26" s="17" t="inlineStr"/>
      <c r="F26" s="17" t="inlineStr">
        <is>
          <t>Company Site</t>
        </is>
      </c>
      <c r="G26" s="17" t="inlineStr"/>
      <c r="H26" s="19" t="n">
        <v>46238</v>
      </c>
      <c r="I26" s="18" t="inlineStr">
        <is>
          <t>Applied</t>
        </is>
      </c>
      <c r="J26" s="18" t="inlineStr"/>
      <c r="K26" s="14">
        <f>IF($H26="","",TODAY()-$H26)</f>
        <v/>
      </c>
      <c r="L26" s="19" t="inlineStr"/>
      <c r="M26" s="17" t="inlineStr"/>
      <c r="N26" s="19" t="inlineStr"/>
      <c r="O26" s="17" t="inlineStr"/>
      <c r="P26" s="17" t="inlineStr"/>
      <c r="Q26" s="17" t="inlineStr">
        <is>
          <t>italy/2026_08_04_arup_milan_computational_designer</t>
        </is>
      </c>
      <c r="R26" s="18" t="inlineStr">
        <is>
          <t>High</t>
        </is>
      </c>
      <c r="S26" s="17" t="inlineStr">
        <is>
          <t>Excellent fit — explicitly welcomes recent graduates, no language gap beyond English, strong overlap on Python/Dynamo/Revit/Git/AI-agent work and GIS (ArcGIS). No major mismatch to flag.</t>
        </is>
      </c>
    </row>
    <row r="27" ht="15" customHeight="1" s="21">
      <c r="A27" s="17" t="inlineStr">
        <is>
          <t>Arup</t>
        </is>
      </c>
      <c r="B27" s="17" t="inlineStr">
        <is>
          <t>Open Application – Design Manager, Private &amp; Government Property, Job AMS000091</t>
        </is>
      </c>
      <c r="C27" s="17" t="inlineStr">
        <is>
          <t>Amsterdam, NL</t>
        </is>
      </c>
      <c r="D27" s="18" t="inlineStr"/>
      <c r="E27" s="17" t="inlineStr"/>
      <c r="F27" s="17" t="inlineStr">
        <is>
          <t>Company Site</t>
        </is>
      </c>
      <c r="G27" s="17" t="inlineStr">
        <is>
          <t>https://jobs.arup.com/jobs/33871/other-jobs-matching/location-only</t>
        </is>
      </c>
      <c r="H27" s="19" t="n">
        <v>46238</v>
      </c>
      <c r="I27" s="18" t="inlineStr">
        <is>
          <t>Applied</t>
        </is>
      </c>
      <c r="J27" s="18" t="inlineStr"/>
      <c r="K27" s="14">
        <f>IF($H27="","",TODAY()-$H27)</f>
        <v/>
      </c>
      <c r="L27" s="19" t="inlineStr"/>
      <c r="M27" s="17" t="inlineStr"/>
      <c r="N27" s="19" t="inlineStr"/>
      <c r="O27" s="17" t="inlineStr"/>
      <c r="P27" s="17" t="inlineStr"/>
      <c r="Q27" s="17" t="inlineStr">
        <is>
          <t>netherlands/2026_08_04_arup_amsterdam_design_manager</t>
        </is>
      </c>
      <c r="R27" s="18" t="inlineStr">
        <is>
          <t>Medium</t>
        </is>
      </c>
      <c r="S27" s="17" t="inlineStr">
        <is>
          <t>Open solicitation (not a live vacancy), junior-friendly. Real gap: fluent Dutch required, candidate has none. Per updated default, CV/letter do not disclose this gap.</t>
        </is>
      </c>
    </row>
    <row r="28" ht="15" customHeight="1" s="21">
      <c r="A28" s="17" t="inlineStr">
        <is>
          <t>Arup</t>
        </is>
      </c>
      <c r="B28" s="17" t="inlineStr">
        <is>
          <t>Open Application – Project Management, Science &amp; Industry, Job AMS000094</t>
        </is>
      </c>
      <c r="C28" s="17" t="inlineStr">
        <is>
          <t>Amsterdam, NL</t>
        </is>
      </c>
      <c r="D28" s="18" t="inlineStr"/>
      <c r="E28" s="17" t="inlineStr"/>
      <c r="F28" s="17" t="inlineStr">
        <is>
          <t>Company Site</t>
        </is>
      </c>
      <c r="G28" s="17" t="inlineStr">
        <is>
          <t>https://jobs.arup.com/jobs/33686/other-jobs-matching/location-only</t>
        </is>
      </c>
      <c r="H28" s="19" t="n">
        <v>46238</v>
      </c>
      <c r="I28" s="18" t="inlineStr">
        <is>
          <t>Applied</t>
        </is>
      </c>
      <c r="J28" s="18" t="inlineStr"/>
      <c r="K28" s="14">
        <f>IF($H28="","",TODAY()-$H28)</f>
        <v/>
      </c>
      <c r="L28" s="19" t="inlineStr"/>
      <c r="M28" s="17" t="inlineStr"/>
      <c r="N28" s="19" t="inlineStr"/>
      <c r="O28" s="17" t="inlineStr"/>
      <c r="P28" s="17" t="inlineStr"/>
      <c r="Q28" s="17" t="inlineStr">
        <is>
          <t>netherlands/2026_08_04_arup_amsterdam_science_industry_pm</t>
        </is>
      </c>
      <c r="R28" s="18" t="inlineStr">
        <is>
          <t>Medium</t>
        </is>
      </c>
      <c r="S28" s="17" t="inlineStr">
        <is>
          <t>Open solicitation (not a live vacancy), junior-friendly, same shape as the Design Manager open application. Real gap: fluent Dutch required, candidate has none — not disclosed per updated default.</t>
        </is>
      </c>
    </row>
    <row r="29" ht="15" customHeight="1" s="21">
      <c r="A29" s="17" t="inlineStr">
        <is>
          <t>Arup</t>
        </is>
      </c>
      <c r="B29" s="17" t="inlineStr">
        <is>
          <t>Open Application – Project Management, Technology / Data Centers, Job AMS000092</t>
        </is>
      </c>
      <c r="C29" s="17" t="inlineStr">
        <is>
          <t>Amsterdam, NL</t>
        </is>
      </c>
      <c r="D29" s="18" t="inlineStr"/>
      <c r="E29" s="17" t="inlineStr"/>
      <c r="F29" s="17" t="inlineStr">
        <is>
          <t>Company Site</t>
        </is>
      </c>
      <c r="G29" s="17" t="inlineStr">
        <is>
          <t>https://jobs.arup.com/jobs/33870/other-jobs-matching/location-only</t>
        </is>
      </c>
      <c r="H29" s="19" t="n">
        <v>46238</v>
      </c>
      <c r="I29" s="18" t="inlineStr">
        <is>
          <t>Applied</t>
        </is>
      </c>
      <c r="J29" s="18" t="inlineStr"/>
      <c r="K29" s="14">
        <f>IF($H29="","",TODAY()-$H29)</f>
        <v/>
      </c>
      <c r="L29" s="19" t="inlineStr"/>
      <c r="M29" s="17" t="inlineStr"/>
      <c r="N29" s="19" t="inlineStr"/>
      <c r="O29" s="17" t="inlineStr"/>
      <c r="P29" s="17" t="inlineStr"/>
      <c r="Q29" s="17" t="inlineStr">
        <is>
          <t>netherlands/2026_08_04_arup_amsterdam_tech_datacenters_pm</t>
        </is>
      </c>
      <c r="R29" s="18" t="inlineStr">
        <is>
          <t>Medium</t>
        </is>
      </c>
      <c r="S29" s="17" t="inlineStr">
        <is>
          <t>Third Arup Amsterdam open application (open solicitation, not a live vacancy), junior-friendly. Real gap: fluent Dutch required, candidate has none — not disclosed per updated default.</t>
        </is>
      </c>
    </row>
    <row r="30" ht="15" customHeight="1" s="21">
      <c r="A30" s="17" t="inlineStr">
        <is>
          <t>Sweco</t>
        </is>
      </c>
      <c r="B30" s="17" t="inlineStr">
        <is>
          <t>Junior Building Physics Consultant – Fire, Environment &amp; Building Physics</t>
        </is>
      </c>
      <c r="C30" s="17" t="inlineStr">
        <is>
          <t>Netherlands</t>
        </is>
      </c>
      <c r="D30" s="18" t="inlineStr">
        <is>
          <t>Hybrid</t>
        </is>
      </c>
      <c r="E30" s="17" t="inlineStr"/>
      <c r="F30" s="17" t="inlineStr">
        <is>
          <t>Company Site</t>
        </is>
      </c>
      <c r="G30" s="17" t="inlineStr">
        <is>
          <t>https://www.sweco.nl/solliciteren/?vacancy=66955</t>
        </is>
      </c>
      <c r="H30" s="19" t="n">
        <v>46238</v>
      </c>
      <c r="I30" s="18" t="inlineStr">
        <is>
          <t>Applied</t>
        </is>
      </c>
      <c r="J30" s="18" t="inlineStr"/>
      <c r="K30" s="14">
        <f>IF($H30="","",TODAY()-$H30)</f>
        <v/>
      </c>
      <c r="L30" s="19" t="inlineStr"/>
      <c r="M30" s="17" t="inlineStr"/>
      <c r="N30" s="19" t="inlineStr"/>
      <c r="O30" s="17" t="inlineStr">
        <is>
          <t>Bas Peeters</t>
        </is>
      </c>
      <c r="P30" s="17" t="inlineStr">
        <is>
          <t>bas.peeters@sweco.nl</t>
        </is>
      </c>
      <c r="Q30" s="17" t="inlineStr">
        <is>
          <t>netherlands/2026_08_04_sweco_bas_peeters</t>
        </is>
      </c>
      <c r="R30" s="18" t="inlineStr">
        <is>
          <t>Low</t>
        </is>
      </c>
      <c r="S30" s="17" t="inlineStr">
        <is>
          <t>Real domain mismatch — no daylight/energy/acoustics/fire-safety background at all (different specialization than BIM). Fluent Dutch also required. Applied anyway per explicit user instruction; leans on energy-management coursework + adaptability, gaps not disclosed.</t>
        </is>
      </c>
    </row>
    <row r="31" ht="15" customHeight="1" s="21">
      <c r="A31" s="17" t="inlineStr">
        <is>
          <t>Sweco</t>
        </is>
      </c>
      <c r="B31" s="17" t="inlineStr">
        <is>
          <t>Junior Fire Safety Advisor – Fire, Environment &amp; Building Physics</t>
        </is>
      </c>
      <c r="C31" s="17" t="inlineStr">
        <is>
          <t>Venlo/Eindhoven, NL</t>
        </is>
      </c>
      <c r="D31" s="18" t="inlineStr">
        <is>
          <t>Hybrid</t>
        </is>
      </c>
      <c r="E31" s="17" t="inlineStr">
        <is>
          <t>EUR 3,442-4,100/month</t>
        </is>
      </c>
      <c r="F31" s="17" t="inlineStr">
        <is>
          <t>Company Site</t>
        </is>
      </c>
      <c r="G31" s="17" t="inlineStr">
        <is>
          <t>https://www.sweco.nl/solliciteren/?vacancy=66956</t>
        </is>
      </c>
      <c r="H31" s="19" t="n">
        <v>46238</v>
      </c>
      <c r="I31" s="18" t="inlineStr">
        <is>
          <t>Applied</t>
        </is>
      </c>
      <c r="J31" s="18" t="inlineStr"/>
      <c r="K31" s="14">
        <f>IF($H31="","",TODAY()-$H31)</f>
        <v/>
      </c>
      <c r="L31" s="19" t="inlineStr"/>
      <c r="M31" s="17" t="inlineStr"/>
      <c r="N31" s="19" t="inlineStr"/>
      <c r="O31" s="17" t="inlineStr">
        <is>
          <t>Bas Peeters</t>
        </is>
      </c>
      <c r="P31" s="17" t="inlineStr">
        <is>
          <t>bas.peeters@sweco.nl</t>
        </is>
      </c>
      <c r="Q31" s="17" t="inlineStr">
        <is>
          <t>netherlands/2026_08_04_sweco_fire_safety_peeters</t>
        </is>
      </c>
      <c r="R31" s="18" t="inlineStr">
        <is>
          <t>Low</t>
        </is>
      </c>
      <c r="S31" s="17" t="inlineStr">
        <is>
          <t>Same team/manager as the Building Physics Consultant posting; real domain gap (no fire-safety background) plus fluent Dutch required. Applied anyway per established preference for this team; gaps not disclosed.</t>
        </is>
      </c>
    </row>
    <row r="32" ht="15" customHeight="1" s="21">
      <c r="A32" s="17" t="inlineStr">
        <is>
          <t>Sweco</t>
        </is>
      </c>
      <c r="B32" s="17" t="inlineStr">
        <is>
          <t>Junior Advisor Cultural Engineering – Environmental and Cultural Engineering Research</t>
        </is>
      </c>
      <c r="C32" s="17" t="inlineStr">
        <is>
          <t>Eindhoven, NL</t>
        </is>
      </c>
      <c r="D32" s="18" t="inlineStr">
        <is>
          <t>Hybrid</t>
        </is>
      </c>
      <c r="E32" s="17" t="inlineStr">
        <is>
          <t>EUR 3,442-4,000/month</t>
        </is>
      </c>
      <c r="F32" s="17" t="inlineStr">
        <is>
          <t>Company Site</t>
        </is>
      </c>
      <c r="G32" s="17" t="inlineStr">
        <is>
          <t>https://www.sweco.nl/solliciteren/?vacancy=66857</t>
        </is>
      </c>
      <c r="H32" s="19" t="n">
        <v>46238</v>
      </c>
      <c r="I32" s="18" t="inlineStr">
        <is>
          <t>Applied</t>
        </is>
      </c>
      <c r="J32" s="18" t="inlineStr"/>
      <c r="K32" s="14">
        <f>IF($H32="","",TODAY()-$H32)</f>
        <v/>
      </c>
      <c r="L32" s="19" t="inlineStr"/>
      <c r="M32" s="17" t="inlineStr"/>
      <c r="N32" s="19" t="inlineStr"/>
      <c r="O32" s="17" t="inlineStr">
        <is>
          <t>Jules Rutten</t>
        </is>
      </c>
      <c r="P32" s="17" t="inlineStr">
        <is>
          <t>jules.rutten@sweco.nl</t>
        </is>
      </c>
      <c r="Q32" s="17" t="inlineStr">
        <is>
          <t>netherlands/2026_08_04_sweco_jules_rutten</t>
        </is>
      </c>
      <c r="R32" s="18" t="inlineStr">
        <is>
          <t>Medium</t>
        </is>
      </c>
      <c r="S32" s="17" t="inlineStr">
        <is>
          <t>Genuine domain fit via real hydrology/water-resources coursework (AutoCAD, HEC-HMS, HEC-RAS) — better fit than the Building Physics/Fire Safety Sweco roles. Dutch C1 required, not disclosed per updated default.</t>
        </is>
      </c>
    </row>
    <row r="33" ht="15" customHeight="1" s="21">
      <c r="A33" s="17" t="inlineStr">
        <is>
          <t>Sweco</t>
        </is>
      </c>
      <c r="B33" s="17" t="inlineStr">
        <is>
          <t>(Junior) Architectural BIM Engineer – Logistics and Business Accommodation</t>
        </is>
      </c>
      <c r="C33" s="17" t="inlineStr">
        <is>
          <t>De Bilt/Eindhoven/The Hague, NL</t>
        </is>
      </c>
      <c r="D33" s="18" t="inlineStr">
        <is>
          <t>Hybrid</t>
        </is>
      </c>
      <c r="E33" s="17" t="inlineStr">
        <is>
          <t>EUR 3,750-4,250/month</t>
        </is>
      </c>
      <c r="F33" s="17" t="inlineStr">
        <is>
          <t>Company Site</t>
        </is>
      </c>
      <c r="G33" s="17" t="inlineStr">
        <is>
          <t>https://www.sweco.nl/solliciteren/?vacancy=66747</t>
        </is>
      </c>
      <c r="H33" s="19" t="n">
        <v>46238</v>
      </c>
      <c r="I33" s="18" t="inlineStr">
        <is>
          <t>Applied</t>
        </is>
      </c>
      <c r="J33" s="18" t="inlineStr"/>
      <c r="K33" s="14">
        <f>IF($H33="","",TODAY()-$H33)</f>
        <v/>
      </c>
      <c r="L33" s="19" t="inlineStr"/>
      <c r="M33" s="17" t="inlineStr"/>
      <c r="N33" s="19" t="inlineStr"/>
      <c r="O33" s="17" t="inlineStr">
        <is>
          <t>Eric Thoma</t>
        </is>
      </c>
      <c r="P33" s="17" t="inlineStr"/>
      <c r="Q33" s="17" t="inlineStr">
        <is>
          <t>netherlands/2026_08_04_sweco_eric_thoma</t>
        </is>
      </c>
      <c r="R33" s="18" t="inlineStr">
        <is>
          <t>High</t>
        </is>
      </c>
      <c r="S33" s="17" t="inlineStr">
        <is>
          <t>Strong direct BIM match — Revit + multidisciplinary coordination maps closely onto the Guimarães project. Real gaps: 2 years experience, fluent Dutch — not disclosed per updated default.</t>
        </is>
      </c>
    </row>
    <row r="34" ht="15" customHeight="1" s="21">
      <c r="A34" s="17" t="inlineStr">
        <is>
          <t>Sweco</t>
        </is>
      </c>
      <c r="B34" s="17" t="inlineStr">
        <is>
          <t>(Junior) Urban Planning Advisor – Urban Projects South (Spatial Development)</t>
        </is>
      </c>
      <c r="C34" s="17" t="inlineStr">
        <is>
          <t>Kapelle/Middelburg, NL</t>
        </is>
      </c>
      <c r="D34" s="18" t="inlineStr">
        <is>
          <t>Hybrid</t>
        </is>
      </c>
      <c r="E34" s="17" t="inlineStr">
        <is>
          <t>EUR 3,600-4,300/month</t>
        </is>
      </c>
      <c r="F34" s="17" t="inlineStr">
        <is>
          <t>Company Site</t>
        </is>
      </c>
      <c r="G34" s="17" t="inlineStr">
        <is>
          <t>https://www.sweco.nl/solliciteren/?vacancy=66743</t>
        </is>
      </c>
      <c r="H34" s="19" t="n">
        <v>46238</v>
      </c>
      <c r="I34" s="18" t="inlineStr">
        <is>
          <t>Applied</t>
        </is>
      </c>
      <c r="J34" s="18" t="inlineStr"/>
      <c r="K34" s="14">
        <f>IF($H34="","",TODAY()-$H34)</f>
        <v/>
      </c>
      <c r="L34" s="19" t="inlineStr"/>
      <c r="M34" s="17" t="inlineStr"/>
      <c r="N34" s="19" t="inlineStr"/>
      <c r="O34" s="17" t="inlineStr">
        <is>
          <t>Marik Waterman</t>
        </is>
      </c>
      <c r="P34" s="17" t="inlineStr">
        <is>
          <t>marik.waterman@sweco.nl</t>
        </is>
      </c>
      <c r="Q34" s="17" t="inlineStr">
        <is>
          <t>netherlands/2026_08_04_sweco_marik_waterman</t>
        </is>
      </c>
      <c r="R34" s="18" t="inlineStr">
        <is>
          <t>Medium</t>
        </is>
      </c>
      <c r="S34" s="17" t="inlineStr">
        <is>
          <t>Surfaced real urban planning coursework (previously untracked). Explicit ask for digitalization/AI experience is a genuine strength. No Dutch requirement listed. 2 years experience gap not disclosed per updated default.</t>
        </is>
      </c>
    </row>
    <row r="35" ht="15" customHeight="1" s="21">
      <c r="A35" s="17" t="inlineStr">
        <is>
          <t>Sweco</t>
        </is>
      </c>
      <c r="B35" s="17" t="inlineStr">
        <is>
          <t>(Junior) Transport Pipeline Engineer – Water</t>
        </is>
      </c>
      <c r="C35" s="17" t="inlineStr">
        <is>
          <t>De Bilt, NL</t>
        </is>
      </c>
      <c r="D35" s="18" t="inlineStr">
        <is>
          <t>Hybrid</t>
        </is>
      </c>
      <c r="E35" s="17" t="inlineStr">
        <is>
          <t>EUR 3,600-4,300/month</t>
        </is>
      </c>
      <c r="F35" s="17" t="inlineStr">
        <is>
          <t>Company Site</t>
        </is>
      </c>
      <c r="G35" s="17" t="inlineStr">
        <is>
          <t>https://www.sweco.nl/solliciteren/?vacancy=66744</t>
        </is>
      </c>
      <c r="H35" s="19" t="n">
        <v>46238</v>
      </c>
      <c r="I35" s="18" t="inlineStr">
        <is>
          <t>Applied</t>
        </is>
      </c>
      <c r="J35" s="18" t="inlineStr"/>
      <c r="K35" s="14">
        <f>IF($H35="","",TODAY()-$H35)</f>
        <v/>
      </c>
      <c r="L35" s="19" t="inlineStr"/>
      <c r="M35" s="17" t="inlineStr"/>
      <c r="N35" s="19" t="inlineStr"/>
      <c r="O35" s="17" t="inlineStr">
        <is>
          <t>John Driessen</t>
        </is>
      </c>
      <c r="P35" s="17" t="inlineStr">
        <is>
          <t>john.driessen@sweco.nl</t>
        </is>
      </c>
      <c r="Q35" s="17" t="inlineStr">
        <is>
          <t>netherlands/2026_08_04_sweco_john_driessen</t>
        </is>
      </c>
      <c r="R35" s="18" t="inlineStr">
        <is>
          <t>Medium</t>
        </is>
      </c>
      <c r="S35" s="17" t="inlineStr">
        <is>
          <t>Genuine domain fit via real AutoCAD/ArcGIS/hydrology coursework, matching the posting’s explicit software asks. 1-3 years experience and Dutch C1 gaps not disclosed per updated default.</t>
        </is>
      </c>
    </row>
    <row r="36" ht="15" customHeight="1" s="21">
      <c r="A36" s="17" t="inlineStr">
        <is>
          <t>Sweco</t>
        </is>
      </c>
      <c r="B36" s="17" t="inlineStr">
        <is>
          <t>Junior Construction Project Manager – Logistics and Business Accommodation</t>
        </is>
      </c>
      <c r="C36" s="17" t="inlineStr">
        <is>
          <t>De Bilt/Amsterdam, NL</t>
        </is>
      </c>
      <c r="D36" s="18" t="inlineStr">
        <is>
          <t>Hybrid</t>
        </is>
      </c>
      <c r="E36" s="17" t="inlineStr">
        <is>
          <t>EUR 3,500-4,500/month</t>
        </is>
      </c>
      <c r="F36" s="17" t="inlineStr">
        <is>
          <t>Company Site</t>
        </is>
      </c>
      <c r="G36" s="17" t="inlineStr">
        <is>
          <t>https://www.sweco.nl/solliciteren/?vacancy=66706</t>
        </is>
      </c>
      <c r="H36" s="19" t="n">
        <v>46238</v>
      </c>
      <c r="I36" s="18" t="inlineStr">
        <is>
          <t>Applied</t>
        </is>
      </c>
      <c r="J36" s="18" t="inlineStr"/>
      <c r="K36" s="14">
        <f>IF($H36="","",TODAY()-$H36)</f>
        <v/>
      </c>
      <c r="L36" s="19" t="inlineStr"/>
      <c r="M36" s="17" t="inlineStr"/>
      <c r="N36" s="19" t="inlineStr"/>
      <c r="O36" s="17" t="inlineStr"/>
      <c r="P36" s="17" t="inlineStr">
        <is>
          <t>lindsay.vanheugten@sweco.nl</t>
        </is>
      </c>
      <c r="Q36" s="17" t="inlineStr">
        <is>
          <t>netherlands/2026_08_04_sweco_pm_logistics_thoma</t>
        </is>
      </c>
      <c r="R36" s="18" t="inlineStr">
        <is>
          <t>Medium</t>
        </is>
      </c>
      <c r="S36" s="17" t="inlineStr">
        <is>
          <t>Same team as the Architectural BIM Engineer application (Eric Thoma). 1-3 years experience and Dutch fluency gaps not disclosed per updated default.</t>
        </is>
      </c>
    </row>
    <row r="37" ht="15" customHeight="1" s="21">
      <c r="A37" s="17" t="inlineStr">
        <is>
          <t>Sweco</t>
        </is>
      </c>
      <c r="B37" s="17" t="inlineStr">
        <is>
          <t>Junior Contract Management Advisor – Urban Projects</t>
        </is>
      </c>
      <c r="C37" s="17" t="inlineStr">
        <is>
          <t>Rotterdam, NL</t>
        </is>
      </c>
      <c r="D37" s="18" t="inlineStr">
        <is>
          <t>Hybrid</t>
        </is>
      </c>
      <c r="E37" s="17" t="inlineStr">
        <is>
          <t>EUR 3,442-4,100/month</t>
        </is>
      </c>
      <c r="F37" s="17" t="inlineStr">
        <is>
          <t>Company Site</t>
        </is>
      </c>
      <c r="G37" s="17" t="inlineStr">
        <is>
          <t>https://www.sweco.nl/solliciteren/?vacancy=66683</t>
        </is>
      </c>
      <c r="H37" s="19" t="n">
        <v>46238</v>
      </c>
      <c r="I37" s="18" t="inlineStr">
        <is>
          <t>Applied</t>
        </is>
      </c>
      <c r="J37" s="18" t="inlineStr"/>
      <c r="K37" s="14">
        <f>IF($H37="","",TODAY()-$H37)</f>
        <v/>
      </c>
      <c r="L37" s="19" t="inlineStr"/>
      <c r="M37" s="17" t="inlineStr"/>
      <c r="N37" s="19" t="inlineStr"/>
      <c r="O37" s="17" t="inlineStr">
        <is>
          <t>Edyta Wisniewska</t>
        </is>
      </c>
      <c r="P37" s="17" t="inlineStr">
        <is>
          <t>edyta.wisniewska@sweco.nl</t>
        </is>
      </c>
      <c r="Q37" s="17" t="inlineStr">
        <is>
          <t>netherlands/2026_08_04_sweco_edyta_wisniewska</t>
        </is>
      </c>
      <c r="R37" s="18" t="inlineStr">
        <is>
          <t>High</t>
        </is>
      </c>
      <c r="S37" s="17" t="inlineStr">
        <is>
          <t>Strong match — graduate-entry framing, no Dutch requirement listed, and the FIDIC contract-review internship maps directly onto the role.</t>
        </is>
      </c>
    </row>
    <row r="38" ht="15" customHeight="1" s="21">
      <c r="A38" s="17" t="inlineStr">
        <is>
          <t>Sweco</t>
        </is>
      </c>
      <c r="B38" s="17" t="inlineStr">
        <is>
          <t>(Junior) Project Manager – Volantis</t>
        </is>
      </c>
      <c r="C38" s="17" t="inlineStr">
        <is>
          <t>Venlo/Eindhoven, NL</t>
        </is>
      </c>
      <c r="D38" s="18" t="inlineStr">
        <is>
          <t>Hybrid</t>
        </is>
      </c>
      <c r="E38" s="17" t="inlineStr"/>
      <c r="F38" s="17" t="inlineStr">
        <is>
          <t>Company Site</t>
        </is>
      </c>
      <c r="G38" s="17" t="inlineStr">
        <is>
          <t>https://www.sweco.nl/solliciteren/?vacancy=66682</t>
        </is>
      </c>
      <c r="H38" s="19" t="n">
        <v>46238</v>
      </c>
      <c r="I38" s="18" t="inlineStr">
        <is>
          <t>Applied</t>
        </is>
      </c>
      <c r="J38" s="18" t="inlineStr"/>
      <c r="K38" s="14">
        <f>IF($H38="","",TODAY()-$H38)</f>
        <v/>
      </c>
      <c r="L38" s="19" t="inlineStr"/>
      <c r="M38" s="17" t="inlineStr"/>
      <c r="N38" s="19" t="inlineStr"/>
      <c r="O38" s="17" t="inlineStr">
        <is>
          <t>Pim Uiting</t>
        </is>
      </c>
      <c r="P38" s="17" t="inlineStr">
        <is>
          <t>pim.uiting@sweco.nl</t>
        </is>
      </c>
      <c r="Q38" s="17" t="inlineStr">
        <is>
          <t>netherlands/2026_08_04_sweco_volantis_pim_uiting</t>
        </is>
      </c>
      <c r="R38" s="18" t="inlineStr">
        <is>
          <t>Medium</t>
        </is>
      </c>
      <c r="S38" s="17" t="inlineStr">
        <is>
          <t>Graduate-friendly ("starters also welcome"). Fluent Dutch and English required, not disclosed per updated default.</t>
        </is>
      </c>
    </row>
    <row r="39" ht="15" customHeight="1" s="21">
      <c r="A39" s="17" t="inlineStr">
        <is>
          <t>Sweco</t>
        </is>
      </c>
      <c r="B39" s="17" t="inlineStr">
        <is>
          <t>Junior Soil Consultant – Environmental Consultancy</t>
        </is>
      </c>
      <c r="C39" s="17" t="inlineStr">
        <is>
          <t>Groningen, NL</t>
        </is>
      </c>
      <c r="D39" s="18" t="inlineStr">
        <is>
          <t>Hybrid</t>
        </is>
      </c>
      <c r="E39" s="17" t="inlineStr">
        <is>
          <t>EUR 3,442-4,100/month</t>
        </is>
      </c>
      <c r="F39" s="17" t="inlineStr">
        <is>
          <t>Company Site</t>
        </is>
      </c>
      <c r="G39" s="17" t="inlineStr">
        <is>
          <t>https://www.sweco.nl/solliciteren/?vacancy=66601</t>
        </is>
      </c>
      <c r="H39" s="19" t="n">
        <v>46238</v>
      </c>
      <c r="I39" s="18" t="inlineStr">
        <is>
          <t>Applied</t>
        </is>
      </c>
      <c r="J39" s="18" t="inlineStr"/>
      <c r="K39" s="14">
        <f>IF($H39="","",TODAY()-$H39)</f>
        <v/>
      </c>
      <c r="L39" s="19" t="inlineStr"/>
      <c r="M39" s="17" t="inlineStr"/>
      <c r="N39" s="19" t="inlineStr"/>
      <c r="O39" s="17" t="inlineStr">
        <is>
          <t>Mariska Moyaert</t>
        </is>
      </c>
      <c r="P39" s="17" t="inlineStr">
        <is>
          <t>mariska.moyaert@sweco.nl</t>
        </is>
      </c>
      <c r="Q39" s="17" t="inlineStr">
        <is>
          <t>netherlands/2026_08_04_sweco_mariska_moyaert</t>
        </is>
      </c>
      <c r="R39" s="18" t="inlineStr">
        <is>
          <t>Medium</t>
        </is>
      </c>
      <c r="S39" s="17" t="inlineStr">
        <is>
          <t>Domain-adjacent fit via real hydrology/water-resources/GIS coursework. Recent graduates explicitly welcomed. Dutch gap not disclosed per updated default.</t>
        </is>
      </c>
    </row>
    <row r="40" ht="15" customHeight="1" s="21">
      <c r="A40" s="17" t="inlineStr">
        <is>
          <t>Sweco</t>
        </is>
      </c>
      <c r="B40" s="17" t="inlineStr">
        <is>
          <t>Junior Fire Safety Advisor – Fire Safety &amp; Simulations</t>
        </is>
      </c>
      <c r="C40" s="17" t="inlineStr">
        <is>
          <t>Amsterdam/Venlo/De Bilt/Rotterdam/Eindhoven, NL</t>
        </is>
      </c>
      <c r="D40" s="18" t="inlineStr">
        <is>
          <t>Hybrid</t>
        </is>
      </c>
      <c r="E40" s="17" t="inlineStr">
        <is>
          <t>EUR 3,442-4,000/month</t>
        </is>
      </c>
      <c r="F40" s="17" t="inlineStr">
        <is>
          <t>Company Site</t>
        </is>
      </c>
      <c r="G40" s="17" t="inlineStr">
        <is>
          <t>https://www.sweco.nl/solliciteren/?vacancy=66548</t>
        </is>
      </c>
      <c r="H40" s="19" t="n">
        <v>46238</v>
      </c>
      <c r="I40" s="18" t="inlineStr">
        <is>
          <t>Applied</t>
        </is>
      </c>
      <c r="J40" s="18" t="inlineStr"/>
      <c r="K40" s="14">
        <f>IF($H40="","",TODAY()-$H40)</f>
        <v/>
      </c>
      <c r="L40" s="19" t="inlineStr"/>
      <c r="M40" s="17" t="inlineStr"/>
      <c r="N40" s="19" t="inlineStr"/>
      <c r="O40" s="17" t="inlineStr">
        <is>
          <t>Bart de Vries</t>
        </is>
      </c>
      <c r="P40" s="17" t="inlineStr">
        <is>
          <t>bart.devries@sweco.nl</t>
        </is>
      </c>
      <c r="Q40" s="17" t="inlineStr">
        <is>
          <t>netherlands/2026_08_04_sweco_bart_de_vries</t>
        </is>
      </c>
      <c r="R40" s="18" t="inlineStr">
        <is>
          <t>Low</t>
        </is>
      </c>
      <c r="S40" s="17" t="inlineStr">
        <is>
          <t>Same domain gap as the earlier Peeters Fire Safety application (different team: Fire Safety &amp; Simulations). No fire-safety/CFD background. Dutch B2 minimum not disclosed per updated default.</t>
        </is>
      </c>
    </row>
    <row r="41" ht="15" customHeight="1" s="21">
      <c r="A41" s="17" t="inlineStr">
        <is>
          <t>Sweco</t>
        </is>
      </c>
      <c r="B41" s="17" t="inlineStr">
        <is>
          <t>Junior Contract Writer Consultant – Civil Engineering (Northern Netherlands)</t>
        </is>
      </c>
      <c r="C41" s="17" t="inlineStr">
        <is>
          <t>Groningen/Leeuwarden, NL</t>
        </is>
      </c>
      <c r="D41" s="18" t="inlineStr">
        <is>
          <t>Hybrid</t>
        </is>
      </c>
      <c r="E41" s="17" t="inlineStr">
        <is>
          <t>EUR 3,442-4,100/month</t>
        </is>
      </c>
      <c r="F41" s="17" t="inlineStr">
        <is>
          <t>Company Site</t>
        </is>
      </c>
      <c r="G41" s="17" t="inlineStr">
        <is>
          <t>https://www.sweco.nl/solliciteren/?vacancy=65625</t>
        </is>
      </c>
      <c r="H41" s="19" t="n">
        <v>46238</v>
      </c>
      <c r="I41" s="18" t="inlineStr">
        <is>
          <t>Applied</t>
        </is>
      </c>
      <c r="J41" s="18" t="inlineStr"/>
      <c r="K41" s="14">
        <f>IF($H41="","",TODAY()-$H41)</f>
        <v/>
      </c>
      <c r="L41" s="19" t="inlineStr"/>
      <c r="M41" s="17" t="inlineStr"/>
      <c r="N41" s="19" t="inlineStr"/>
      <c r="O41" s="17" t="inlineStr">
        <is>
          <t>Annemarie Rook / Kees van der Molen</t>
        </is>
      </c>
      <c r="P41" s="17" t="inlineStr">
        <is>
          <t>annemarie.rook@sweco.nl</t>
        </is>
      </c>
      <c r="Q41" s="17" t="inlineStr">
        <is>
          <t>netherlands/2026_08_04_sweco_contract_writer_groningen</t>
        </is>
      </c>
      <c r="R41" s="18" t="inlineStr">
        <is>
          <t>High</t>
        </is>
      </c>
      <c r="S41" s="17" t="inlineStr">
        <is>
          <t>Strong match — explicit digitalization/AI requirement is a genuine strength, plus the FIDIC contract-review internship. No Dutch requirement listed.</t>
        </is>
      </c>
    </row>
    <row r="42" ht="15" customHeight="1" s="21">
      <c r="A42" s="17" t="inlineStr">
        <is>
          <t>Sweco</t>
        </is>
      </c>
      <c r="B42" s="17" t="inlineStr">
        <is>
          <t>Junior Civil Engineering Project Manager – Urban Projects</t>
        </is>
      </c>
      <c r="C42" s="17" t="inlineStr">
        <is>
          <t>De Bilt, NL</t>
        </is>
      </c>
      <c r="D42" s="18" t="inlineStr">
        <is>
          <t>Hybrid</t>
        </is>
      </c>
      <c r="E42" s="17" t="inlineStr">
        <is>
          <t>EUR 3,442-4,000/month</t>
        </is>
      </c>
      <c r="F42" s="17" t="inlineStr">
        <is>
          <t>Company Site</t>
        </is>
      </c>
      <c r="G42" s="17" t="inlineStr">
        <is>
          <t>https://www.sweco.nl/solliciteren/?vacancy=65797</t>
        </is>
      </c>
      <c r="H42" s="19" t="n">
        <v>46238</v>
      </c>
      <c r="I42" s="18" t="inlineStr">
        <is>
          <t>Applied</t>
        </is>
      </c>
      <c r="J42" s="18" t="inlineStr"/>
      <c r="K42" s="14">
        <f>IF($H42="","",TODAY()-$H42)</f>
        <v/>
      </c>
      <c r="L42" s="19" t="inlineStr"/>
      <c r="M42" s="17" t="inlineStr"/>
      <c r="N42" s="19" t="inlineStr"/>
      <c r="O42" s="17" t="inlineStr">
        <is>
          <t>Bart Witte</t>
        </is>
      </c>
      <c r="P42" s="17" t="inlineStr">
        <is>
          <t>bart.witte@sweco.nl</t>
        </is>
      </c>
      <c r="Q42" s="17" t="inlineStr">
        <is>
          <t>netherlands/2026_08_04_sweco_pm_urban_projects_witte</t>
        </is>
      </c>
      <c r="R42" s="18" t="inlineStr">
        <is>
          <t>Medium</t>
        </is>
      </c>
      <c r="S42" s="17" t="inlineStr">
        <is>
          <t>Second application involving Bart Witte as contact (previously Junior BIM Modeller Alkmaar). Fluent Dutch required, not disclosed per updated default.</t>
        </is>
      </c>
    </row>
    <row r="43" ht="15" customHeight="1" s="21">
      <c r="A43" s="17" t="inlineStr">
        <is>
          <t>Sweco</t>
        </is>
      </c>
      <c r="B43" s="17" t="inlineStr">
        <is>
          <t>Junior Road Engineering Consultant – Living Environment</t>
        </is>
      </c>
      <c r="C43" s="17" t="inlineStr">
        <is>
          <t>Alkmaar, NL</t>
        </is>
      </c>
      <c r="D43" s="18" t="inlineStr">
        <is>
          <t>Hybrid</t>
        </is>
      </c>
      <c r="E43" s="17" t="inlineStr">
        <is>
          <t>EUR 3,442-4,000/month</t>
        </is>
      </c>
      <c r="F43" s="17" t="inlineStr">
        <is>
          <t>Company Site</t>
        </is>
      </c>
      <c r="G43" s="17" t="inlineStr">
        <is>
          <t>https://www.sweco.nl/solliciteren/?vacancy=64592</t>
        </is>
      </c>
      <c r="H43" s="19" t="n">
        <v>46238</v>
      </c>
      <c r="I43" s="18" t="inlineStr">
        <is>
          <t>Applied</t>
        </is>
      </c>
      <c r="J43" s="18" t="inlineStr"/>
      <c r="K43" s="14">
        <f>IF($H43="","",TODAY()-$H43)</f>
        <v/>
      </c>
      <c r="L43" s="19" t="inlineStr"/>
      <c r="M43" s="17" t="inlineStr"/>
      <c r="N43" s="19" t="inlineStr"/>
      <c r="O43" s="17" t="inlineStr">
        <is>
          <t>Bart Witte</t>
        </is>
      </c>
      <c r="P43" s="17" t="inlineStr">
        <is>
          <t>bart.witte@sweco.nl</t>
        </is>
      </c>
      <c r="Q43" s="17" t="inlineStr">
        <is>
          <t>netherlands/2026_08_04_sweco_road_engineering_witte</t>
        </is>
      </c>
      <c r="R43" s="18" t="inlineStr">
        <is>
          <t>Medium</t>
        </is>
      </c>
      <c r="S43" s="17" t="inlineStr">
        <is>
          <t>Third application to Bart Witte (confirmed with user before proceeding). No specific technical software gap; Dutch C1 required, not disclosed per updated default.</t>
        </is>
      </c>
    </row>
    <row r="44" ht="15" customHeight="1" s="21">
      <c r="A44" s="17" t="inlineStr">
        <is>
          <t>Sweco</t>
        </is>
      </c>
      <c r="B44" s="17" t="inlineStr">
        <is>
          <t>Junior Structural Engineer – Engineering &amp; Consultancy Construction</t>
        </is>
      </c>
      <c r="C44" s="17" t="inlineStr">
        <is>
          <t>Groningen/Zwolle, NL</t>
        </is>
      </c>
      <c r="D44" s="18" t="inlineStr">
        <is>
          <t>Hybrid</t>
        </is>
      </c>
      <c r="E44" s="17" t="inlineStr">
        <is>
          <t>EUR 3,442-4,000/month</t>
        </is>
      </c>
      <c r="F44" s="17" t="inlineStr">
        <is>
          <t>Company Site</t>
        </is>
      </c>
      <c r="G44" s="17" t="inlineStr">
        <is>
          <t>https://www.sweco.nl/solliciteren/?vacancy=63877</t>
        </is>
      </c>
      <c r="H44" s="19" t="n">
        <v>46238</v>
      </c>
      <c r="I44" s="18" t="inlineStr">
        <is>
          <t>Applied</t>
        </is>
      </c>
      <c r="J44" s="18" t="inlineStr"/>
      <c r="K44" s="14">
        <f>IF($H44="","",TODAY()-$H44)</f>
        <v/>
      </c>
      <c r="L44" s="19" t="inlineStr"/>
      <c r="M44" s="17" t="inlineStr"/>
      <c r="N44" s="19" t="inlineStr"/>
      <c r="O44" s="17" t="inlineStr">
        <is>
          <t>Sjaak Schreuder</t>
        </is>
      </c>
      <c r="P44" s="17" t="inlineStr">
        <is>
          <t>sjaak.schreuder@sweco.nl</t>
        </is>
      </c>
      <c r="Q44" s="17" t="inlineStr">
        <is>
          <t>netherlands/2026_08_04_sweco_sjaak_schreuder</t>
        </is>
      </c>
      <c r="R44" s="18" t="inlineStr">
        <is>
          <t>Low</t>
        </is>
      </c>
      <c r="S44" s="17" t="inlineStr">
        <is>
          <t>Same domain gap as the Arup Bridge Engineer role — requires structural calculations and Scia/Technosoft, neither of which the candidate has. Dutch gap not disclosed per updated default.</t>
        </is>
      </c>
    </row>
    <row r="45" ht="15" customHeight="1" s="21">
      <c r="A45" s="17" t="inlineStr">
        <is>
          <t>Sweco</t>
        </is>
      </c>
      <c r="B45" s="17" t="inlineStr">
        <is>
          <t>Junior BIM Modeler Civil Engineering – Urban Projects</t>
        </is>
      </c>
      <c r="C45" s="17" t="inlineStr">
        <is>
          <t>De Bilt, NL</t>
        </is>
      </c>
      <c r="D45" s="18" t="inlineStr">
        <is>
          <t>Hybrid</t>
        </is>
      </c>
      <c r="E45" s="17" t="inlineStr">
        <is>
          <t>EUR 3,442-4,000/month</t>
        </is>
      </c>
      <c r="F45" s="17" t="inlineStr">
        <is>
          <t>Company Site</t>
        </is>
      </c>
      <c r="G45" s="17" t="inlineStr">
        <is>
          <t>https://www.sweco.nl/solliciteren/?vacancy=62537</t>
        </is>
      </c>
      <c r="H45" s="19" t="n">
        <v>46238</v>
      </c>
      <c r="I45" s="18" t="inlineStr">
        <is>
          <t>Applied</t>
        </is>
      </c>
      <c r="J45" s="18" t="inlineStr"/>
      <c r="K45" s="14">
        <f>IF($H45="","",TODAY()-$H45)</f>
        <v/>
      </c>
      <c r="L45" s="19" t="inlineStr"/>
      <c r="M45" s="17" t="inlineStr"/>
      <c r="N45" s="19" t="inlineStr"/>
      <c r="O45" s="17" t="inlineStr">
        <is>
          <t>Robin Bree</t>
        </is>
      </c>
      <c r="P45" s="17" t="inlineStr">
        <is>
          <t>lindsay.vanheugten@sweco.nl</t>
        </is>
      </c>
      <c r="Q45" s="17" t="inlineStr">
        <is>
          <t>netherlands/2026_08_04_sweco_robin_bree</t>
        </is>
      </c>
      <c r="R45" s="18" t="inlineStr">
        <is>
          <t>High</t>
        </is>
      </c>
      <c r="S45" s="17" t="inlineStr">
        <is>
          <t>Strong direct match (Revit/Civil 3D modelling role). Dutch gap not disclosed per updated default.</t>
        </is>
      </c>
    </row>
    <row r="46" ht="15" customHeight="1" s="21">
      <c r="A46" s="17" t="inlineStr">
        <is>
          <t>Sweco</t>
        </is>
      </c>
      <c r="B46" s="17" t="inlineStr">
        <is>
          <t>(Junior) Structural Modeler – Engineering &amp; Consultancy Construction</t>
        </is>
      </c>
      <c r="C46" s="17" t="inlineStr">
        <is>
          <t>Groningen, NL</t>
        </is>
      </c>
      <c r="D46" s="18" t="inlineStr">
        <is>
          <t>Hybrid</t>
        </is>
      </c>
      <c r="E46" s="17" t="inlineStr">
        <is>
          <t>EUR 3,442-4,000/month</t>
        </is>
      </c>
      <c r="F46" s="17" t="inlineStr">
        <is>
          <t>Company Site</t>
        </is>
      </c>
      <c r="G46" s="17" t="inlineStr">
        <is>
          <t>https://www.sweco.nl/solliciteren/?vacancy=62445</t>
        </is>
      </c>
      <c r="H46" s="19" t="n">
        <v>46238</v>
      </c>
      <c r="I46" s="18" t="inlineStr">
        <is>
          <t>Applied</t>
        </is>
      </c>
      <c r="J46" s="18" t="inlineStr"/>
      <c r="K46" s="14">
        <f>IF($H46="","",TODAY()-$H46)</f>
        <v/>
      </c>
      <c r="L46" s="19" t="inlineStr"/>
      <c r="M46" s="17" t="inlineStr"/>
      <c r="N46" s="19" t="inlineStr"/>
      <c r="O46" s="17" t="inlineStr">
        <is>
          <t>Jasper Pouls</t>
        </is>
      </c>
      <c r="P46" s="17" t="inlineStr">
        <is>
          <t>jasper.pouls@sweco.nl</t>
        </is>
      </c>
      <c r="Q46" s="17" t="inlineStr">
        <is>
          <t>netherlands/2026_08_04_sweco_jasper_pouls</t>
        </is>
      </c>
      <c r="R46" s="18" t="inlineStr">
        <is>
          <t>High</t>
        </is>
      </c>
      <c r="S46" s="17" t="inlineStr">
        <is>
          <t>Good direct match (Revit-based modelling role, not pure structural calculation). Dutch gap not disclosed per updated default.</t>
        </is>
      </c>
    </row>
    <row r="47" ht="15" customHeight="1" s="21">
      <c r="A47" s="17" t="inlineStr">
        <is>
          <t>Sweco</t>
        </is>
      </c>
      <c r="B47" s="17" t="inlineStr">
        <is>
          <t>Junior Civil Designer – Integrated Infrastructure Design</t>
        </is>
      </c>
      <c r="C47" s="17" t="inlineStr">
        <is>
          <t>Amsterdam/De Bilt/Rotterdam/Alkmaar, NL</t>
        </is>
      </c>
      <c r="D47" s="18" t="inlineStr">
        <is>
          <t>Hybrid</t>
        </is>
      </c>
      <c r="E47" s="17" t="inlineStr">
        <is>
          <t>EUR 3,442-4,000/month</t>
        </is>
      </c>
      <c r="F47" s="17" t="inlineStr">
        <is>
          <t>Company Site</t>
        </is>
      </c>
      <c r="G47" s="17" t="inlineStr">
        <is>
          <t>https://www.sweco.nl/solliciteren/?vacancy=61191</t>
        </is>
      </c>
      <c r="H47" s="19" t="n">
        <v>46238</v>
      </c>
      <c r="I47" s="18" t="inlineStr">
        <is>
          <t>Applied</t>
        </is>
      </c>
      <c r="J47" s="18" t="inlineStr"/>
      <c r="K47" s="14">
        <f>IF($H47="","",TODAY()-$H47)</f>
        <v/>
      </c>
      <c r="L47" s="19" t="inlineStr"/>
      <c r="M47" s="17" t="inlineStr"/>
      <c r="N47" s="19" t="inlineStr"/>
      <c r="O47" s="17" t="inlineStr">
        <is>
          <t>Peter Koelman</t>
        </is>
      </c>
      <c r="P47" s="17" t="inlineStr">
        <is>
          <t>peter.koelman@sweco.nl</t>
        </is>
      </c>
      <c r="Q47" s="17" t="inlineStr">
        <is>
          <t>netherlands/2026_08_04_sweco_peter_koelman</t>
        </is>
      </c>
      <c r="R47" s="18" t="inlineStr">
        <is>
          <t>High</t>
        </is>
      </c>
      <c r="S47" s="17" t="inlineStr">
        <is>
          <t>Strong match — no Dutch requirement listed, explicit AI/digitalization emphasis is a genuine strength.</t>
        </is>
      </c>
    </row>
    <row r="48" ht="15" customHeight="1" s="21">
      <c r="A48" s="17" t="inlineStr">
        <is>
          <t>Sweco</t>
        </is>
      </c>
      <c r="B48" s="17" t="inlineStr">
        <is>
          <t>(Junior) Civil Engineering Project Engineer – Infrastructure</t>
        </is>
      </c>
      <c r="C48" s="17" t="inlineStr">
        <is>
          <t>Zwolle, NL</t>
        </is>
      </c>
      <c r="D48" s="18" t="inlineStr">
        <is>
          <t>Hybrid</t>
        </is>
      </c>
      <c r="E48" s="17" t="inlineStr">
        <is>
          <t>EUR 3,442-4,000/month</t>
        </is>
      </c>
      <c r="F48" s="17" t="inlineStr">
        <is>
          <t>Company Site</t>
        </is>
      </c>
      <c r="G48" s="17" t="inlineStr">
        <is>
          <t>https://www.sweco.nl/solliciteren/?vacancy=55138</t>
        </is>
      </c>
      <c r="H48" s="19" t="n">
        <v>46238</v>
      </c>
      <c r="I48" s="18" t="inlineStr">
        <is>
          <t>Applied</t>
        </is>
      </c>
      <c r="J48" s="18" t="inlineStr"/>
      <c r="K48" s="14">
        <f>IF($H48="","",TODAY()-$H48)</f>
        <v/>
      </c>
      <c r="L48" s="19" t="inlineStr"/>
      <c r="M48" s="17" t="inlineStr"/>
      <c r="N48" s="19" t="inlineStr"/>
      <c r="O48" s="17" t="inlineStr">
        <is>
          <t>Jeroen van de Uitvlugt</t>
        </is>
      </c>
      <c r="P48" s="17" t="inlineStr">
        <is>
          <t>jeroen.vandeuitvlugt@sweco.nl</t>
        </is>
      </c>
      <c r="Q48" s="17" t="inlineStr">
        <is>
          <t>netherlands/2026_08_04_sweco_jeroen_uitvlugt</t>
        </is>
      </c>
      <c r="R48" s="18" t="inlineStr">
        <is>
          <t>High</t>
        </is>
      </c>
      <c r="S48" s="17" t="inlineStr">
        <is>
          <t>Strong match — no Dutch requirement listed; AutoCAD, cost estimation and FIDIC contract-review experience all genuine strengths.</t>
        </is>
      </c>
    </row>
    <row r="49" ht="15" customHeight="1" s="21">
      <c r="A49" s="17" t="inlineStr">
        <is>
          <t>Sweco</t>
        </is>
      </c>
      <c r="B49" s="17" t="inlineStr">
        <is>
          <t>Junior Road Management Advisor</t>
        </is>
      </c>
      <c r="C49" s="17" t="inlineStr">
        <is>
          <t>Multiple NL offices (Middelburg/Groningen/Arnhem/Leeuwarden/De Bilt/Rotterdam/Alkmaar/Eindhoven/Amsterdam)</t>
        </is>
      </c>
      <c r="D49" s="18" t="inlineStr">
        <is>
          <t>Hybrid</t>
        </is>
      </c>
      <c r="E49" s="17" t="inlineStr"/>
      <c r="F49" s="17" t="inlineStr">
        <is>
          <t>Company Site</t>
        </is>
      </c>
      <c r="G49" s="17" t="inlineStr">
        <is>
          <t>https://www.sweco.nl/solliciteren/?vacancy=52972</t>
        </is>
      </c>
      <c r="H49" s="19" t="n">
        <v>46238</v>
      </c>
      <c r="I49" s="18" t="inlineStr">
        <is>
          <t>Applied</t>
        </is>
      </c>
      <c r="J49" s="18" t="inlineStr"/>
      <c r="K49" s="14">
        <f>IF($H49="","",TODAY()-$H49)</f>
        <v/>
      </c>
      <c r="L49" s="19" t="inlineStr"/>
      <c r="M49" s="17" t="inlineStr"/>
      <c r="N49" s="19" t="inlineStr"/>
      <c r="O49" s="17" t="inlineStr">
        <is>
          <t>Rob Krom</t>
        </is>
      </c>
      <c r="P49" s="17" t="inlineStr">
        <is>
          <t>rob.krom@sweco.nl</t>
        </is>
      </c>
      <c r="Q49" s="17" t="inlineStr">
        <is>
          <t>netherlands/2026_08_04_sweco_rob_krom</t>
        </is>
      </c>
      <c r="R49" s="18" t="inlineStr">
        <is>
          <t>High</t>
        </is>
      </c>
      <c r="S49" s="17" t="inlineStr">
        <is>
          <t>Strong match — no Dutch requirement listed; GIS (ArcGIS) and explicit AI/digitalization asks are both genuine strengths.</t>
        </is>
      </c>
    </row>
    <row r="50" ht="15" customHeight="1" s="21">
      <c r="A50" s="17" t="inlineStr">
        <is>
          <t>Sweco</t>
        </is>
      </c>
      <c r="B50" s="17" t="inlineStr">
        <is>
          <t>(Junior) Hydraulic Engineering Design Manager – Structural Hydraulic Engineering</t>
        </is>
      </c>
      <c r="C50" s="17" t="inlineStr">
        <is>
          <t>De Bilt/Rotterdam/Amsterdam, NL</t>
        </is>
      </c>
      <c r="D50" s="18" t="inlineStr">
        <is>
          <t>Hybrid</t>
        </is>
      </c>
      <c r="E50" s="17" t="inlineStr">
        <is>
          <t>EUR 4,000-5,500/month</t>
        </is>
      </c>
      <c r="F50" s="17" t="inlineStr">
        <is>
          <t>Company Site</t>
        </is>
      </c>
      <c r="G50" s="17" t="inlineStr">
        <is>
          <t>https://www.sweco.nl/solliciteren/?vacancy=50518</t>
        </is>
      </c>
      <c r="H50" s="19" t="n">
        <v>46238</v>
      </c>
      <c r="I50" s="18" t="inlineStr">
        <is>
          <t>Applied</t>
        </is>
      </c>
      <c r="J50" s="18" t="inlineStr"/>
      <c r="K50" s="14">
        <f>IF($H50="","",TODAY()-$H50)</f>
        <v/>
      </c>
      <c r="L50" s="19" t="inlineStr"/>
      <c r="M50" s="17" t="inlineStr"/>
      <c r="N50" s="19" t="inlineStr"/>
      <c r="O50" s="17" t="inlineStr">
        <is>
          <t>Jan Hein Poodt</t>
        </is>
      </c>
      <c r="P50" s="17" t="inlineStr">
        <is>
          <t>jan-hein.poodt@sweco.nl</t>
        </is>
      </c>
      <c r="Q50" s="17" t="inlineStr">
        <is>
          <t>netherlands/2026_08_04_sweco_jan_hein_poodt</t>
        </is>
      </c>
      <c r="R50" s="18" t="inlineStr">
        <is>
          <t>Low</t>
        </is>
      </c>
      <c r="S50" s="17" t="inlineStr">
        <is>
          <t>Long-shot per user request — 5 years experience required despite "(Junior)" title, mid-level salary band. Good domain fit (hydrology/water resources coursework) but real seniority gap.</t>
        </is>
      </c>
    </row>
    <row r="51" ht="15" customHeight="1" s="21">
      <c r="A51" s="17" t="inlineStr">
        <is>
          <t>Sweco</t>
        </is>
      </c>
      <c r="B51" s="17" t="inlineStr">
        <is>
          <t>Junior Advisor Underground Infrastructure &amp; Water</t>
        </is>
      </c>
      <c r="C51" s="17" t="inlineStr">
        <is>
          <t>De Bilt, NL</t>
        </is>
      </c>
      <c r="D51" s="18" t="inlineStr">
        <is>
          <t>Hybrid</t>
        </is>
      </c>
      <c r="E51" s="17" t="inlineStr">
        <is>
          <t>EUR 3,442-3,766/month</t>
        </is>
      </c>
      <c r="F51" s="17" t="inlineStr">
        <is>
          <t>Company Site</t>
        </is>
      </c>
      <c r="G51" s="17" t="inlineStr">
        <is>
          <t>https://www.sweco.nl/solliciteren/?vacancy=47996</t>
        </is>
      </c>
      <c r="H51" s="19" t="n">
        <v>46238</v>
      </c>
      <c r="I51" s="18" t="inlineStr">
        <is>
          <t>Applied</t>
        </is>
      </c>
      <c r="J51" s="18" t="inlineStr"/>
      <c r="K51" s="14">
        <f>IF($H51="","",TODAY()-$H51)</f>
        <v/>
      </c>
      <c r="L51" s="19" t="inlineStr"/>
      <c r="M51" s="17" t="inlineStr"/>
      <c r="N51" s="19" t="inlineStr"/>
      <c r="O51" s="17" t="inlineStr">
        <is>
          <t>John Driessen</t>
        </is>
      </c>
      <c r="P51" s="17" t="inlineStr">
        <is>
          <t>john.driessen@sweco.nl</t>
        </is>
      </c>
      <c r="Q51" s="17" t="inlineStr">
        <is>
          <t>netherlands/2026_08_04_sweco_underground_infra_driessen</t>
        </is>
      </c>
      <c r="R51" s="18" t="inlineStr">
        <is>
          <t>High</t>
        </is>
      </c>
      <c r="S51" s="17" t="inlineStr">
        <is>
          <t>Second application to John Driessen (previously Transport Pipeline Engineer). Strong match — GIS/data science/BIM explicitly named, no Dutch requirement listed, graduate-friendly.</t>
        </is>
      </c>
    </row>
    <row r="52" ht="15" customHeight="1" s="21">
      <c r="A52" s="17" t="inlineStr">
        <is>
          <t>Sweco</t>
        </is>
      </c>
      <c r="B52" s="17" t="inlineStr">
        <is>
          <t>(Junior) Structural Engineer – Engineering &amp; Consultancy Construction</t>
        </is>
      </c>
      <c r="C52" s="17" t="inlineStr">
        <is>
          <t>Middelburg, NL</t>
        </is>
      </c>
      <c r="D52" s="18" t="inlineStr">
        <is>
          <t>Hybrid</t>
        </is>
      </c>
      <c r="E52" s="17" t="inlineStr">
        <is>
          <t>EUR 3,442-4,000/month</t>
        </is>
      </c>
      <c r="F52" s="17" t="inlineStr">
        <is>
          <t>Company Site</t>
        </is>
      </c>
      <c r="G52" s="17" t="inlineStr">
        <is>
          <t>https://www.sweco.nl/solliciteren/?vacancy=53226</t>
        </is>
      </c>
      <c r="H52" s="19" t="n">
        <v>46238</v>
      </c>
      <c r="I52" s="18" t="inlineStr">
        <is>
          <t>Applied</t>
        </is>
      </c>
      <c r="J52" s="18" t="inlineStr"/>
      <c r="K52" s="14">
        <f>IF($H52="","",TODAY()-$H52)</f>
        <v/>
      </c>
      <c r="L52" s="19" t="inlineStr"/>
      <c r="M52" s="17" t="inlineStr"/>
      <c r="N52" s="19" t="inlineStr"/>
      <c r="O52" s="17" t="inlineStr">
        <is>
          <t>Michel van Aert</t>
        </is>
      </c>
      <c r="P52" s="17" t="inlineStr">
        <is>
          <t>michel.vanaert@sweco.nl</t>
        </is>
      </c>
      <c r="Q52" s="17" t="inlineStr">
        <is>
          <t>netherlands/2026_08_04_sweco_michel_van_aert</t>
        </is>
      </c>
      <c r="R52" s="18" t="inlineStr">
        <is>
          <t>High</t>
        </is>
      </c>
      <c r="S52" s="17" t="inlineStr">
        <is>
          <t>Same shape as the Schreuder/Pouls structural roles (Revit-based modelling, different branch). Dutch gap not disclosed per updated default.</t>
        </is>
      </c>
    </row>
    <row r="53" ht="15" customHeight="1" s="21">
      <c r="A53" s="17" t="inlineStr">
        <is>
          <t>Sweco</t>
        </is>
      </c>
      <c r="B53" s="17" t="inlineStr">
        <is>
          <t>Junior Project Consultant – Area Development</t>
        </is>
      </c>
      <c r="C53" s="17" t="inlineStr">
        <is>
          <t>Arnhem, NL</t>
        </is>
      </c>
      <c r="D53" s="18" t="inlineStr">
        <is>
          <t>Hybrid</t>
        </is>
      </c>
      <c r="E53" s="17" t="inlineStr">
        <is>
          <t>EUR 3,442-4,000/month</t>
        </is>
      </c>
      <c r="F53" s="17" t="inlineStr">
        <is>
          <t>Company Site</t>
        </is>
      </c>
      <c r="G53" s="17" t="inlineStr">
        <is>
          <t>https://www.sweco.nl/solliciteren/?vacancy=39914</t>
        </is>
      </c>
      <c r="H53" s="19" t="n">
        <v>46238</v>
      </c>
      <c r="I53" s="18" t="inlineStr">
        <is>
          <t>Applied</t>
        </is>
      </c>
      <c r="J53" s="18" t="inlineStr"/>
      <c r="K53" s="14">
        <f>IF($H53="","",TODAY()-$H53)</f>
        <v/>
      </c>
      <c r="L53" s="19" t="inlineStr"/>
      <c r="M53" s="17" t="inlineStr"/>
      <c r="N53" s="19" t="inlineStr"/>
      <c r="O53" s="17" t="inlineStr">
        <is>
          <t>Marcel Janssen</t>
        </is>
      </c>
      <c r="P53" s="17" t="inlineStr">
        <is>
          <t>marcel.janssen@sweco.nl</t>
        </is>
      </c>
      <c r="Q53" s="17" t="inlineStr">
        <is>
          <t>netherlands/2026_08_04_sweco_marcel_janssen</t>
        </is>
      </c>
      <c r="R53" s="18" t="inlineStr">
        <is>
          <t>High</t>
        </is>
      </c>
      <c r="S53" s="17" t="inlineStr">
        <is>
          <t>Good match — digitalization/AI explicitly a plus, civil engineering/land-water framing fits. Dutch gap not disclosed per updated default.</t>
        </is>
      </c>
    </row>
    <row r="54" ht="15" customHeight="1" s="21">
      <c r="A54" s="17" t="inlineStr">
        <is>
          <t>Sweco</t>
        </is>
      </c>
      <c r="B54" s="17" t="inlineStr">
        <is>
          <t>(Junior) Civil Engineer – Engineering and Urban Projects</t>
        </is>
      </c>
      <c r="C54" s="17" t="inlineStr">
        <is>
          <t>Multiple NL offices (Alkmaar/Amsterdam/Middelburg/Arnhem/Groningen/Zwolle/Leeuwarden/De Bilt)</t>
        </is>
      </c>
      <c r="D54" s="18" t="inlineStr">
        <is>
          <t>Hybrid</t>
        </is>
      </c>
      <c r="E54" s="17" t="inlineStr">
        <is>
          <t>EUR 3,442-4,000/month</t>
        </is>
      </c>
      <c r="F54" s="17" t="inlineStr">
        <is>
          <t>Company Site</t>
        </is>
      </c>
      <c r="G54" s="17" t="inlineStr">
        <is>
          <t>https://www.sweco.nl/solliciteren/?vacancy=39949</t>
        </is>
      </c>
      <c r="H54" s="19" t="n">
        <v>46238</v>
      </c>
      <c r="I54" s="18" t="inlineStr">
        <is>
          <t>Applied</t>
        </is>
      </c>
      <c r="J54" s="18" t="inlineStr"/>
      <c r="K54" s="14">
        <f>IF($H54="","",TODAY()-$H54)</f>
        <v/>
      </c>
      <c r="L54" s="19" t="inlineStr"/>
      <c r="M54" s="17" t="inlineStr"/>
      <c r="N54" s="19" t="inlineStr"/>
      <c r="O54" s="17" t="inlineStr">
        <is>
          <t>Robin Bree</t>
        </is>
      </c>
      <c r="P54" s="17" t="inlineStr">
        <is>
          <t>lindsay.vanheugten@sweco.nl</t>
        </is>
      </c>
      <c r="Q54" s="17" t="inlineStr">
        <is>
          <t>netherlands/2026_08_04_sweco_civil_engineer_bree</t>
        </is>
      </c>
      <c r="R54" s="18" t="inlineStr">
        <is>
          <t>High</t>
        </is>
      </c>
      <c r="S54" s="17" t="inlineStr">
        <is>
          <t>Second application to Robin Bree (previously BIM Modeler Civil Engineering). Strong overall match: AutoCAD, digitalization/AI, FIDIC contract review all genuine strengths.</t>
        </is>
      </c>
    </row>
    <row r="55" ht="15" customHeight="1" s="21">
      <c r="A55" s="17" t="inlineStr">
        <is>
          <t>Sweco Energi</t>
        </is>
      </c>
      <c r="B55" s="17" t="inlineStr">
        <is>
          <t>Junior Project Manager – District Heating Projects</t>
        </is>
      </c>
      <c r="C55" s="17" t="inlineStr">
        <is>
          <t>Greater Copenhagen / North Zealand, DK</t>
        </is>
      </c>
      <c r="D55" s="18" t="inlineStr"/>
      <c r="E55" s="17" t="inlineStr"/>
      <c r="F55" s="17" t="inlineStr">
        <is>
          <t>Company Site</t>
        </is>
      </c>
      <c r="G55" s="17" t="inlineStr">
        <is>
          <t>https://candidate.hr-manager.net/ApplicationInit.aspx?cid=87&amp;ProjectId=183677&amp;DepartmentId=2127&amp;SkipAdvertisement=true</t>
        </is>
      </c>
      <c r="H55" s="19" t="n">
        <v>46238</v>
      </c>
      <c r="I55" s="18" t="inlineStr">
        <is>
          <t>Applied</t>
        </is>
      </c>
      <c r="J55" s="18" t="inlineStr"/>
      <c r="K55" s="14">
        <f>IF($H55="","",TODAY()-$H55)</f>
        <v/>
      </c>
      <c r="L55" s="19" t="inlineStr"/>
      <c r="M55" s="17" t="inlineStr"/>
      <c r="N55" s="19" t="inlineStr"/>
      <c r="O55" s="17" t="inlineStr"/>
      <c r="P55" s="17" t="inlineStr"/>
      <c r="Q55" s="17" t="inlineStr">
        <is>
          <t>denmark/2026_08_04_sweco_district_heating_pm</t>
        </is>
      </c>
      <c r="R55" s="18" t="inlineStr">
        <is>
          <t>Medium</t>
        </is>
      </c>
      <c r="S55" s="17" t="inlineStr">
        <is>
          <t>3 years experience required, not disclosed per updated default. No explicit language requirement listed. Leans on real energy-management coursework.</t>
        </is>
      </c>
    </row>
    <row r="56" ht="15" customHeight="1" s="21">
      <c r="A56" s="17" t="inlineStr">
        <is>
          <t>Sweco</t>
        </is>
      </c>
      <c r="B56" s="17" t="inlineStr">
        <is>
          <t>Junior Engineer (Req. 269)</t>
        </is>
      </c>
      <c r="C56" s="17" t="inlineStr">
        <is>
          <t>Multiple BE/LU offices (Berchem/Gent/Brussels/Hasselt/Leuven and others)</t>
        </is>
      </c>
      <c r="D56" s="18" t="inlineStr">
        <is>
          <t>Hybrid</t>
        </is>
      </c>
      <c r="E56" s="17" t="inlineStr"/>
      <c r="F56" s="17" t="inlineStr">
        <is>
          <t>Company Site</t>
        </is>
      </c>
      <c r="G56" s="17" t="inlineStr"/>
      <c r="H56" s="19" t="n">
        <v>46238</v>
      </c>
      <c r="I56" s="18" t="inlineStr">
        <is>
          <t>Applied</t>
        </is>
      </c>
      <c r="J56" s="18" t="inlineStr"/>
      <c r="K56" s="14">
        <f>IF($H56="","",TODAY()-$H56)</f>
        <v/>
      </c>
      <c r="L56" s="19" t="inlineStr"/>
      <c r="M56" s="17" t="inlineStr"/>
      <c r="N56" s="19" t="inlineStr"/>
      <c r="O56" s="17" t="inlineStr"/>
      <c r="P56" s="17" t="inlineStr"/>
      <c r="Q56" s="17" t="inlineStr">
        <is>
          <t>belgium/2026_08_04_sweco_junior_engineer</t>
        </is>
      </c>
      <c r="R56" s="18" t="inlineStr">
        <is>
          <t>High</t>
        </is>
      </c>
      <c r="S56" s="17" t="inlineStr">
        <is>
          <t>No language/software requirement listed, explicitly open to near-graduates. Excellent accessibility, strong AI/digitalization profile fits well.</t>
        </is>
      </c>
    </row>
    <row r="57" ht="15" customHeight="1" s="21">
      <c r="A57" s="17" t="inlineStr">
        <is>
          <t>Sweco</t>
        </is>
      </c>
      <c r="B57" s="17" t="inlineStr">
        <is>
          <t>BIM Coordinator (Req. 1359)</t>
        </is>
      </c>
      <c r="C57" s="17" t="inlineStr">
        <is>
          <t>Antwerp, BE (also Ghent/Berchem/Brussels and others)</t>
        </is>
      </c>
      <c r="D57" s="18" t="inlineStr">
        <is>
          <t>Hybrid</t>
        </is>
      </c>
      <c r="E57" s="17" t="inlineStr"/>
      <c r="F57" s="17" t="inlineStr">
        <is>
          <t>Company Site</t>
        </is>
      </c>
      <c r="G57" s="17" t="inlineStr"/>
      <c r="H57" s="19" t="n">
        <v>46238</v>
      </c>
      <c r="I57" s="18" t="inlineStr">
        <is>
          <t>Applied</t>
        </is>
      </c>
      <c r="J57" s="18" t="inlineStr"/>
      <c r="K57" s="14">
        <f>IF($H57="","",TODAY()-$H57)</f>
        <v/>
      </c>
      <c r="L57" s="19" t="inlineStr"/>
      <c r="M57" s="17" t="inlineStr"/>
      <c r="N57" s="19" t="inlineStr"/>
      <c r="O57" s="17" t="inlineStr"/>
      <c r="P57" s="17" t="inlineStr"/>
      <c r="Q57" s="17" t="inlineStr">
        <is>
          <t>belgium/2026_08_04_sweco_bim_coordinator_antwerp</t>
        </is>
      </c>
      <c r="R57" s="18" t="inlineStr">
        <is>
          <t>High</t>
        </is>
      </c>
      <c r="S57" s="17" t="inlineStr">
        <is>
          <t>Strong direct BIM match. 3 years experience gap not disclosed per updated default; no language requirement listed.</t>
        </is>
      </c>
    </row>
    <row r="58" ht="15" customHeight="1" s="21">
      <c r="A58" s="17" t="inlineStr">
        <is>
          <t>Sweco</t>
        </is>
      </c>
      <c r="B58" s="17" t="inlineStr">
        <is>
          <t>Information Coordinator (expression of interest)</t>
        </is>
      </c>
      <c r="C58" s="17" t="inlineStr">
        <is>
          <t>Sundsvall/Ostersund, SE</t>
        </is>
      </c>
      <c r="D58" s="18" t="inlineStr">
        <is>
          <t>Hybrid</t>
        </is>
      </c>
      <c r="E58" s="17" t="inlineStr"/>
      <c r="F58" s="17" t="inlineStr">
        <is>
          <t>Company Site</t>
        </is>
      </c>
      <c r="G58" s="17" t="inlineStr">
        <is>
          <t>https://www.sweco.se/karriar/ansok-har/?rmpage=apply&amp;rmjob=25028</t>
        </is>
      </c>
      <c r="H58" s="19" t="n">
        <v>46238</v>
      </c>
      <c r="I58" s="18" t="inlineStr">
        <is>
          <t>Applied</t>
        </is>
      </c>
      <c r="J58" s="18" t="inlineStr"/>
      <c r="K58" s="14">
        <f>IF($H58="","",TODAY()-$H58)</f>
        <v/>
      </c>
      <c r="L58" s="19" t="inlineStr"/>
      <c r="M58" s="17" t="inlineStr"/>
      <c r="N58" s="19" t="inlineStr"/>
      <c r="O58" s="17" t="inlineStr">
        <is>
          <t>Malin Kullstrom</t>
        </is>
      </c>
      <c r="P58" s="17" t="inlineStr">
        <is>
          <t>malin.kullstrom@sweco.se</t>
        </is>
      </c>
      <c r="Q58" s="17" t="inlineStr">
        <is>
          <t>sweden/2026_08_04_sweco_info_coordinator_sundsvall</t>
        </is>
      </c>
      <c r="R58" s="18" t="inlineStr">
        <is>
          <t>High</t>
        </is>
      </c>
      <c r="S58" s="17" t="inlineStr">
        <is>
          <t>Excellent domain fit — role is essentially the candidate’s exact specialty (Information Manager, ISO 19650). Swedish gap not disclosed per updated default; confirmed with user given the strong fit. 3 years experience also required.</t>
        </is>
      </c>
    </row>
    <row r="59" ht="15" customHeight="1" s="21">
      <c r="A59" s="17" t="inlineStr">
        <is>
          <t>WSP</t>
        </is>
      </c>
      <c r="B59" s="17" t="inlineStr">
        <is>
          <t>Junior Water Safety Advisor – Water and Environment</t>
        </is>
      </c>
      <c r="C59" s="17" t="inlineStr">
        <is>
          <t>Breda/Nieuwegein/Rotterdam, NL</t>
        </is>
      </c>
      <c r="D59" s="18" t="inlineStr">
        <is>
          <t>Hybrid</t>
        </is>
      </c>
      <c r="E59" s="17" t="inlineStr"/>
      <c r="F59" s="17" t="inlineStr">
        <is>
          <t>Company Site</t>
        </is>
      </c>
      <c r="G59" s="17" t="inlineStr"/>
      <c r="H59" s="19" t="n">
        <v>46238</v>
      </c>
      <c r="I59" s="18" t="inlineStr">
        <is>
          <t>Applied</t>
        </is>
      </c>
      <c r="J59" s="18" t="inlineStr"/>
      <c r="K59" s="14">
        <f>IF($H59="","",TODAY()-$H59)</f>
        <v/>
      </c>
      <c r="L59" s="19" t="inlineStr"/>
      <c r="M59" s="17" t="inlineStr"/>
      <c r="N59" s="19" t="inlineStr"/>
      <c r="O59" s="17" t="inlineStr"/>
      <c r="P59" s="17" t="inlineStr"/>
      <c r="Q59" s="17" t="inlineStr">
        <is>
          <t>netherlands/2026_08_04_wsp_water_safety</t>
        </is>
      </c>
      <c r="R59" s="18" t="inlineStr">
        <is>
          <t>Medium</t>
        </is>
      </c>
      <c r="S59" s="17" t="inlineStr">
        <is>
          <t>First WSP application. Decent water-adjacent fit; geotechnical stability/piping analysis is a different specialty than hydrology coursework, framed honestly as genuine interest rather than claimed expertise.</t>
        </is>
      </c>
    </row>
    <row r="60" ht="15" customHeight="1" s="21">
      <c r="A60" s="17" t="inlineStr">
        <is>
          <t>Ferrovial Construction</t>
        </is>
      </c>
      <c r="B60" s="17" t="inlineStr">
        <is>
          <t>BIM Graduate – Quality and Design Department (JR18626)</t>
        </is>
      </c>
      <c r="C60" s="17" t="inlineStr">
        <is>
          <t>London, UK</t>
        </is>
      </c>
      <c r="D60" s="18" t="inlineStr">
        <is>
          <t>On-site</t>
        </is>
      </c>
      <c r="E60" s="17" t="inlineStr"/>
      <c r="F60" s="17" t="inlineStr">
        <is>
          <t>Company Site</t>
        </is>
      </c>
      <c r="G60" s="17" t="inlineStr">
        <is>
          <t>https://ferrovial.wd3.myworkdayjobs.com/Ferrovial_Career_Site/job/London/BIM-Graduate_JR18626/apply?source=LinkedIn</t>
        </is>
      </c>
      <c r="H60" s="19" t="n">
        <v>46246</v>
      </c>
      <c r="I60" s="18" t="inlineStr">
        <is>
          <t>Applied</t>
        </is>
      </c>
      <c r="J60" s="18" t="inlineStr"/>
      <c r="K60" s="14">
        <f>IF($H60="","",TODAY()-$H60)</f>
        <v/>
      </c>
      <c r="L60" s="19" t="inlineStr"/>
      <c r="M60" s="17" t="inlineStr"/>
      <c r="N60" s="19" t="inlineStr"/>
      <c r="O60" s="17" t="inlineStr"/>
      <c r="P60" s="17" t="inlineStr"/>
      <c r="Q60" s="17" t="inlineStr">
        <is>
          <t>uk/2026_08_12_ferrovial_bim_graduate</t>
        </is>
      </c>
      <c r="R60" s="18" t="inlineStr">
        <is>
          <t>High</t>
        </is>
      </c>
      <c r="S60" s="17" t="inlineStr">
        <is>
          <t>Near-exact fit (posting names BIM as a qualifying master’s degree, 2-year graduate program, no experience required). UK right-to-work confirmed by user as securable by start date; stated directly on the CV per the posting’s essential requirement.</t>
        </is>
      </c>
    </row>
    <row r="61" ht="15" customHeight="1" s="21">
      <c r="A61" s="17" t="inlineStr">
        <is>
          <t>Ferrovial Construction</t>
        </is>
      </c>
      <c r="B61" s="17" t="inlineStr">
        <is>
          <t>Graduate Digital Construction &amp; Data Management 2026 (JR18262)</t>
        </is>
      </c>
      <c r="C61" s="17" t="inlineStr">
        <is>
          <t>London, UK</t>
        </is>
      </c>
      <c r="D61" s="18" t="inlineStr">
        <is>
          <t>On-site</t>
        </is>
      </c>
      <c r="E61" s="17" t="inlineStr"/>
      <c r="F61" s="17" t="inlineStr">
        <is>
          <t>Company Site</t>
        </is>
      </c>
      <c r="G61" s="17" t="inlineStr">
        <is>
          <t>https://ferrovial.wd3.myworkdayjobs.com/en-US/Ferrovial_Career_Site/job/London/Graduate-Digital-Construction---Data-Management-2026_JR18262/apply?source=LinkedIn</t>
        </is>
      </c>
      <c r="H61" s="19" t="n">
        <v>46246</v>
      </c>
      <c r="I61" s="18" t="inlineStr">
        <is>
          <t>Applied</t>
        </is>
      </c>
      <c r="J61" s="18" t="inlineStr"/>
      <c r="K61" s="14">
        <f>IF($H61="","",TODAY()-$H61)</f>
        <v/>
      </c>
      <c r="L61" s="19" t="inlineStr"/>
      <c r="M61" s="17" t="inlineStr"/>
      <c r="N61" s="19" t="inlineStr"/>
      <c r="O61" s="17" t="inlineStr"/>
      <c r="P61" s="17" t="inlineStr"/>
      <c r="Q61" s="17" t="inlineStr">
        <is>
          <t>uk/2026_08_12_ferrovial_digital_construction_data</t>
        </is>
      </c>
      <c r="R61" s="18" t="inlineStr">
        <is>
          <t>High</t>
        </is>
      </c>
      <c r="S61" s="17" t="inlineStr">
        <is>
          <t>Second Ferrovial application, same team/program as BIM Graduate (JR18626). UK right-to-work confirmed manageable by user, stated directly on CV.</t>
        </is>
      </c>
    </row>
    <row r="62" ht="15" customHeight="1" s="21">
      <c r="A62" s="17" t="inlineStr">
        <is>
          <t>Graitec</t>
        </is>
      </c>
      <c r="B62" s="17" t="inlineStr">
        <is>
          <t>AEC Prototyping Engineer</t>
        </is>
      </c>
      <c r="C62" s="17" t="inlineStr">
        <is>
          <t>Paris, FR</t>
        </is>
      </c>
      <c r="D62" s="18" t="inlineStr"/>
      <c r="E62" s="17" t="inlineStr"/>
      <c r="F62" s="17" t="inlineStr">
        <is>
          <t>Company Site</t>
        </is>
      </c>
      <c r="G62" s="17" t="inlineStr"/>
      <c r="H62" s="19" t="n">
        <v>46246</v>
      </c>
      <c r="I62" s="18" t="inlineStr">
        <is>
          <t>Applied</t>
        </is>
      </c>
      <c r="J62" s="18" t="inlineStr"/>
      <c r="K62" s="14">
        <f>IF($H62="","",TODAY()-$H62)</f>
        <v/>
      </c>
      <c r="L62" s="19" t="inlineStr"/>
      <c r="M62" s="17" t="inlineStr"/>
      <c r="N62" s="19" t="inlineStr"/>
      <c r="O62" s="17" t="inlineStr"/>
      <c r="P62" s="17" t="inlineStr"/>
      <c r="Q62" s="17" t="inlineStr">
        <is>
          <t>france/2026_08_12_graitec_aec_prototyping</t>
        </is>
      </c>
      <c r="R62" s="18" t="inlineStr">
        <is>
          <t>High</t>
        </is>
      </c>
      <c r="S62" s="17" t="inlineStr">
        <is>
          <t>Exceptional fit — combines both core specialties (AEC/BIM and AI/agentic systems). BIMGraphExplorer is an almost literal match to the role’s rapid-prototyping/validation cycle. No French requirement listed.</t>
        </is>
      </c>
    </row>
    <row r="63" ht="15" customHeight="1" s="21">
      <c r="A63" s="17" t="inlineStr">
        <is>
          <t>Mott MacDonald</t>
        </is>
      </c>
      <c r="B63" s="17" t="inlineStr">
        <is>
          <t>BIM Engineer (Structural BIM), Energy unit (Job Ref 15395)</t>
        </is>
      </c>
      <c r="C63" s="17" t="inlineStr">
        <is>
          <t>Sofia, BG</t>
        </is>
      </c>
      <c r="D63" s="18" t="inlineStr">
        <is>
          <t>Hybrid</t>
        </is>
      </c>
      <c r="E63" s="17" t="inlineStr"/>
      <c r="F63" s="17" t="inlineStr">
        <is>
          <t>Company Site</t>
        </is>
      </c>
      <c r="G63" s="17" t="inlineStr">
        <is>
          <t>https://career2.successfactors.eu/career?company=MMPROD&amp;lang=en_150&amp;login_ns=register&amp;career_ns=job_application&amp;career_job_req_id=15395&amp;jobPipeline=CareerSite&amp;codes=EXT</t>
        </is>
      </c>
      <c r="H63" s="19" t="n">
        <v>46250</v>
      </c>
      <c r="I63" s="18" t="inlineStr">
        <is>
          <t>Applied</t>
        </is>
      </c>
      <c r="J63" s="18" t="inlineStr"/>
      <c r="K63" s="14">
        <f>IF($H63="","",TODAY()-$H63)</f>
        <v/>
      </c>
      <c r="L63" s="19" t="inlineStr"/>
      <c r="M63" s="17" t="inlineStr"/>
      <c r="N63" s="19" t="inlineStr"/>
      <c r="O63" s="17" t="inlineStr">
        <is>
          <t>Maria Cervantes</t>
        </is>
      </c>
      <c r="P63" s="17" t="inlineStr"/>
      <c r="Q63" s="17" t="inlineStr">
        <is>
          <t>bulgaria/2026_08_16_mott_macdonald_bim_sofia</t>
        </is>
      </c>
      <c r="R63" s="18" t="inlineStr">
        <is>
          <t>Medium</t>
        </is>
      </c>
      <c r="S63" s="17" t="inlineStr">
        <is>
          <t>Structural-engineering degree gap not disclosed per updated default; actual day-to-day tasks (ACC, ISO 19650, clash detection) map very well to real strengths.</t>
        </is>
      </c>
    </row>
    <row r="64" ht="15" customHeight="1" s="21">
      <c r="A64" s="17" t="inlineStr">
        <is>
          <t>AECOM</t>
        </is>
      </c>
      <c r="B64" s="17" t="inlineStr">
        <is>
          <t>BIM &amp; Digital Specialist / Digital Project Delivery Engineer (Req J10154523)</t>
        </is>
      </c>
      <c r="C64" s="17" t="inlineStr">
        <is>
          <t>Madrid, ES</t>
        </is>
      </c>
      <c r="D64" s="18" t="inlineStr">
        <is>
          <t>Hybrid</t>
        </is>
      </c>
      <c r="E64" s="17" t="inlineStr"/>
      <c r="F64" s="17" t="inlineStr">
        <is>
          <t>Company Site</t>
        </is>
      </c>
      <c r="G64" s="17" t="inlineStr"/>
      <c r="H64" s="19" t="n">
        <v>46250</v>
      </c>
      <c r="I64" s="18" t="inlineStr">
        <is>
          <t>Applied</t>
        </is>
      </c>
      <c r="J64" s="18" t="inlineStr"/>
      <c r="K64" s="14">
        <f>IF($H64="","",TODAY()-$H64)</f>
        <v/>
      </c>
      <c r="L64" s="19" t="inlineStr"/>
      <c r="M64" s="17" t="inlineStr"/>
      <c r="N64" s="19" t="inlineStr"/>
      <c r="O64" s="17" t="inlineStr"/>
      <c r="P64" s="17" t="inlineStr"/>
      <c r="Q64" s="17" t="inlineStr">
        <is>
          <t>spain/2026_08_16_aecom_bim_digital_madrid</t>
        </is>
      </c>
      <c r="R64" s="18" t="inlineStr">
        <is>
          <t>Medium</t>
        </is>
      </c>
      <c r="S64" s="17" t="inlineStr">
        <is>
          <t>Good BIM+data/automation fit (similar shape to Graitec). 2-5 years experience and Power Platform/Azure gaps not disclosed per updated default; no Spanish requirement stated, only English.</t>
        </is>
      </c>
    </row>
    <row r="65" ht="15" customHeight="1" s="21">
      <c r="A65" s="17" t="inlineStr">
        <is>
          <t>King and Moffatt Building Services</t>
        </is>
      </c>
      <c r="B65" s="17" t="inlineStr">
        <is>
          <t>Engineering Graduate Programme</t>
        </is>
      </c>
      <c r="C65" s="17" t="inlineStr">
        <is>
          <t>Carrick-on-Shannon, Co. Leitrim, IE</t>
        </is>
      </c>
      <c r="D65" s="18" t="inlineStr">
        <is>
          <t>On-site</t>
        </is>
      </c>
      <c r="E65" s="17" t="inlineStr"/>
      <c r="F65" s="17" t="inlineStr">
        <is>
          <t>Company Site</t>
        </is>
      </c>
      <c r="G65" s="17" t="inlineStr"/>
      <c r="H65" s="19" t="n">
        <v>46250</v>
      </c>
      <c r="I65" s="18" t="inlineStr">
        <is>
          <t>Applied</t>
        </is>
      </c>
      <c r="J65" s="18" t="inlineStr"/>
      <c r="K65" s="14">
        <f>IF($H65="","",TODAY()-$H65)</f>
        <v/>
      </c>
      <c r="L65" s="19" t="inlineStr"/>
      <c r="M65" s="17" t="inlineStr"/>
      <c r="N65" s="19" t="inlineStr"/>
      <c r="O65" s="17" t="inlineStr"/>
      <c r="P65" s="17" t="inlineStr"/>
      <c r="Q65" s="17" t="inlineStr">
        <is>
          <t>ireland/2026_08_16_king_moffatt_engineering_graduate</t>
        </is>
      </c>
      <c r="R65" s="18" t="inlineStr">
        <is>
          <t>Low</t>
        </is>
      </c>
      <c r="S65" s="17" t="inlineStr">
        <is>
          <t>Ireland work-authorization status unresolved — user asked to omit any mention either way, to be sorted out separately. Also a degree-field mismatch (M&amp;E/Building Services vs Civil), bridged via the programme’s Design/BIM rotation.</t>
        </is>
      </c>
    </row>
    <row r="66" ht="15" customHeight="1" s="21">
      <c r="A66" s="17" t="inlineStr">
        <is>
          <t>DBFL Consulting Engineers</t>
        </is>
      </c>
      <c r="B66" s="17" t="inlineStr">
        <is>
          <t>Graduate Development Programme</t>
        </is>
      </c>
      <c r="C66" s="17" t="inlineStr">
        <is>
          <t>Dublin, IE</t>
        </is>
      </c>
      <c r="D66" s="18" t="inlineStr"/>
      <c r="E66" s="17" t="inlineStr"/>
      <c r="F66" s="17" t="inlineStr">
        <is>
          <t>Company Site</t>
        </is>
      </c>
      <c r="G66" s="17" t="inlineStr"/>
      <c r="H66" s="19" t="n">
        <v>46250</v>
      </c>
      <c r="I66" s="18" t="inlineStr">
        <is>
          <t>Applied</t>
        </is>
      </c>
      <c r="J66" s="18" t="inlineStr"/>
      <c r="K66" s="14">
        <f>IF($H66="","",TODAY()-$H66)</f>
        <v/>
      </c>
      <c r="L66" s="19" t="inlineStr"/>
      <c r="M66" s="17" t="inlineStr"/>
      <c r="N66" s="19" t="inlineStr"/>
      <c r="O66" s="17" t="inlineStr"/>
      <c r="P66" s="17" t="inlineStr"/>
      <c r="Q66" s="17" t="inlineStr">
        <is>
          <t>ireland/2026_08_16_dbfl_graduate_programme</t>
        </is>
      </c>
      <c r="R66" s="18" t="inlineStr">
        <is>
          <t>Medium</t>
        </is>
      </c>
      <c r="S66" s="17" t="inlineStr">
        <is>
          <t>Strong degree-field match (pure Civil Engineering). Same unresolved Ireland work-authorization question as King and Moffatt; omitted from CV per user instruction.</t>
        </is>
      </c>
    </row>
    <row r="67" ht="15" customHeight="1" s="21">
      <c r="A67" s="17" t="inlineStr">
        <is>
          <t>TwinMaster</t>
        </is>
      </c>
      <c r="B67" s="17" t="inlineStr">
        <is>
          <t>Product Manager (Arch-e platform)</t>
        </is>
      </c>
      <c r="C67" s="17" t="inlineStr">
        <is>
          <t>Remote</t>
        </is>
      </c>
      <c r="D67" s="18" t="inlineStr">
        <is>
          <t>Remote</t>
        </is>
      </c>
      <c r="E67" s="17" t="inlineStr"/>
      <c r="F67" s="17" t="inlineStr">
        <is>
          <t>Networking</t>
        </is>
      </c>
      <c r="G67" s="17" t="inlineStr"/>
      <c r="H67" s="19" t="n">
        <v>46250</v>
      </c>
      <c r="I67" s="18" t="inlineStr">
        <is>
          <t>Applied</t>
        </is>
      </c>
      <c r="J67" s="18" t="inlineStr"/>
      <c r="K67" s="14">
        <f>IF($H67="","",TODAY()-$H67)</f>
        <v/>
      </c>
      <c r="L67" s="19" t="inlineStr"/>
      <c r="M67" s="17" t="inlineStr"/>
      <c r="N67" s="19" t="inlineStr"/>
      <c r="O67" s="17" t="inlineStr">
        <is>
          <t>Michael</t>
        </is>
      </c>
      <c r="P67" s="17" t="inlineStr">
        <is>
          <t>michael@thetwinmaster.com</t>
        </is>
      </c>
      <c r="Q67" s="17" t="inlineStr">
        <is>
          <t>remote/2026_08_16_twinmaster_product_manager</t>
        </is>
      </c>
      <c r="R67" s="18" t="inlineStr">
        <is>
          <t>Low</t>
        </is>
      </c>
      <c r="S67" s="17" t="inlineStr">
        <is>
          <t>Categorical mismatch (Licensed Architect, 7 years, Architect of Record required). Sent as an openly self-aware networking note rather than a standard tailored pitch, per explicit user direction.</t>
        </is>
      </c>
    </row>
    <row r="68" ht="15" customHeight="1" s="21">
      <c r="A68" s="17" t="inlineStr">
        <is>
          <t>BAM Building</t>
        </is>
      </c>
      <c r="B68" s="17" t="inlineStr">
        <is>
          <t>BIM Coordinator (Digital Project Solutions)</t>
        </is>
      </c>
      <c r="C68" s="17" t="inlineStr">
        <is>
          <t>Waterford, IE</t>
        </is>
      </c>
      <c r="D68" s="18" t="inlineStr"/>
      <c r="E68" s="17" t="inlineStr"/>
      <c r="F68" s="17" t="inlineStr">
        <is>
          <t>Company Site</t>
        </is>
      </c>
      <c r="G68" s="17" t="inlineStr"/>
      <c r="H68" s="19" t="n">
        <v>46250</v>
      </c>
      <c r="I68" s="18" t="inlineStr">
        <is>
          <t>Applied</t>
        </is>
      </c>
      <c r="J68" s="18" t="inlineStr"/>
      <c r="K68" s="14">
        <f>IF($H68="","",TODAY()-$H68)</f>
        <v/>
      </c>
      <c r="L68" s="19" t="inlineStr"/>
      <c r="M68" s="17" t="inlineStr"/>
      <c r="N68" s="19" t="inlineStr"/>
      <c r="O68" s="17" t="inlineStr"/>
      <c r="P68" s="17" t="inlineStr"/>
      <c r="Q68" s="17" t="inlineStr">
        <is>
          <t>ireland/2026_08_16_bam_bim_coordinator_waterford</t>
        </is>
      </c>
      <c r="R68" s="18" t="inlineStr">
        <is>
          <t>High</t>
        </is>
      </c>
      <c r="S68" s="17" t="inlineStr">
        <is>
          <t>Excellent direct match — ISO 19650/CDE/MIDP-TIDP is the candidate’s core specialty. Same unresolved Ireland work-authorization question as King and Moffatt/DBFL; omitted from CV per user instruction.</t>
        </is>
      </c>
    </row>
    <row r="69" ht="15" customHeight="1" s="21">
      <c r="A69" s="17" t="inlineStr">
        <is>
          <t>Hurks (Ballast Nedam)</t>
        </is>
      </c>
      <c r="B69" s="17" t="inlineStr">
        <is>
          <t>BIM Coordinator</t>
        </is>
      </c>
      <c r="C69" s="17" t="inlineStr">
        <is>
          <t>Eindhoven, NL</t>
        </is>
      </c>
      <c r="D69" s="18" t="inlineStr">
        <is>
          <t>On-site</t>
        </is>
      </c>
      <c r="E69" s="17" t="inlineStr">
        <is>
          <t>EUR 3,989-5,699/month</t>
        </is>
      </c>
      <c r="F69" s="17" t="inlineStr">
        <is>
          <t>LinkedIn</t>
        </is>
      </c>
      <c r="G69" s="17" t="inlineStr"/>
      <c r="H69" s="19" t="n">
        <v>46250</v>
      </c>
      <c r="I69" s="18" t="inlineStr">
        <is>
          <t>Applied</t>
        </is>
      </c>
      <c r="J69" s="18" t="inlineStr"/>
      <c r="K69" s="14">
        <f>IF($H69="","",TODAY()-$H69)</f>
        <v/>
      </c>
      <c r="L69" s="19" t="inlineStr"/>
      <c r="M69" s="17" t="inlineStr"/>
      <c r="N69" s="19" t="inlineStr"/>
      <c r="O69" s="17" t="inlineStr">
        <is>
          <t>Anneke den Haan</t>
        </is>
      </c>
      <c r="P69" s="17" t="inlineStr"/>
      <c r="Q69" s="17" t="inlineStr">
        <is>
          <t>netherlands/2026_08_16_hurks_ballast_nedam_bim</t>
        </is>
      </c>
      <c r="R69" s="18" t="inlineStr">
        <is>
          <t>Medium</t>
        </is>
      </c>
      <c r="S69" s="17" t="inlineStr">
        <is>
          <t>LinkedIn flagged this as a "low" match (missing years of experience, specific tools: Solibri/BIMcollab Nexus/Dalux, Dutch fluency). Not disclosed per updated default; leans on genuine BIM/ISO19650/AI overlap.</t>
        </is>
      </c>
    </row>
    <row r="70" ht="15" customHeight="1" s="21">
      <c r="A70" s="17" t="inlineStr">
        <is>
          <t>REM d.o.o.</t>
        </is>
      </c>
      <c r="B70" s="17" t="inlineStr">
        <is>
          <t>Designer-Developer (product design/development)</t>
        </is>
      </c>
      <c r="C70" s="17" t="inlineStr">
        <is>
          <t>Trebnje, SI</t>
        </is>
      </c>
      <c r="D70" s="18" t="inlineStr"/>
      <c r="E70" s="17" t="inlineStr"/>
      <c r="F70" s="17" t="inlineStr">
        <is>
          <t>Job Board</t>
        </is>
      </c>
      <c r="G70" s="17" t="inlineStr"/>
      <c r="H70" s="19" t="n">
        <v>46251</v>
      </c>
      <c r="I70" s="18" t="inlineStr">
        <is>
          <t>Applied</t>
        </is>
      </c>
      <c r="J70" s="18" t="inlineStr"/>
      <c r="K70" s="14">
        <f>IF($H70="","",TODAY()-$H70)</f>
        <v/>
      </c>
      <c r="L70" s="19" t="inlineStr"/>
      <c r="M70" s="17" t="inlineStr"/>
      <c r="N70" s="19" t="inlineStr"/>
      <c r="O70" s="17" t="inlineStr"/>
      <c r="P70" s="17" t="inlineStr"/>
      <c r="Q70" s="17" t="inlineStr">
        <is>
          <t>slovenia/2026_08_17_rem_doo_trebnje</t>
        </is>
      </c>
      <c r="R70" s="18" t="inlineStr">
        <is>
          <t>High</t>
        </is>
      </c>
      <c r="S70" s="17" t="inlineStr">
        <is>
          <t>Good fit for modular building systems manufacturer. Revit explicitly named; English satisfies language requirement (no Slovene needed). 2 years experience gap not disclosed per updated default.</t>
        </is>
      </c>
    </row>
    <row r="71" ht="15" customHeight="1" s="21">
      <c r="A71" s="17" t="inlineStr">
        <is>
          <t>Pilon AEC</t>
        </is>
      </c>
      <c r="B71" s="17" t="inlineStr">
        <is>
          <t>Open application – BIM specialist</t>
        </is>
      </c>
      <c r="C71" s="17" t="inlineStr">
        <is>
          <t>Ljubljana, SI</t>
        </is>
      </c>
      <c r="D71" s="18" t="inlineStr"/>
      <c r="E71" s="17" t="inlineStr"/>
      <c r="F71" s="17" t="inlineStr">
        <is>
          <t>Networking</t>
        </is>
      </c>
      <c r="G71" s="17" t="inlineStr">
        <is>
          <t>https://www.pilon.si/</t>
        </is>
      </c>
      <c r="H71" s="19" t="n">
        <v>46251</v>
      </c>
      <c r="I71" s="18" t="inlineStr">
        <is>
          <t>Applied</t>
        </is>
      </c>
      <c r="J71" s="18" t="inlineStr"/>
      <c r="K71" s="14">
        <f>IF($H71="","",TODAY()-$H71)</f>
        <v/>
      </c>
      <c r="L71" s="19" t="inlineStr"/>
      <c r="M71" s="17" t="inlineStr"/>
      <c r="N71" s="19" t="inlineStr"/>
      <c r="O71" s="17" t="inlineStr"/>
      <c r="P71" s="17" t="inlineStr">
        <is>
          <t>info@pilon.si</t>
        </is>
      </c>
      <c r="Q71" s="17" t="inlineStr">
        <is>
          <t>slovenia/2026_08_17_pilon_open_application</t>
        </is>
      </c>
      <c r="R71" s="18" t="inlineStr">
        <is>
          <t>High</t>
        </is>
      </c>
      <c r="S71" s="17" t="inlineStr">
        <is>
          <t>Genuine speculative pitch to a real BIM software company (Archicad/MEP Designer/DDScad distributor). Stronger fit than Atrij/Saning since Pilon’s core business is BIM. No named contact or careers page found.</t>
        </is>
      </c>
    </row>
    <row r="72" ht="15" customHeight="1" s="21">
      <c r="A72" s="17" t="inlineStr">
        <is>
          <t>Geoservis d.o.o.</t>
        </is>
      </c>
      <c r="B72" s="17" t="inlineStr">
        <is>
          <t>Open application – BIM and geospatial background</t>
        </is>
      </c>
      <c r="C72" s="17" t="inlineStr">
        <is>
          <t>Ljubljana, SI</t>
        </is>
      </c>
      <c r="D72" s="18" t="inlineStr"/>
      <c r="E72" s="17" t="inlineStr"/>
      <c r="F72" s="17" t="inlineStr">
        <is>
          <t>Networking</t>
        </is>
      </c>
      <c r="G72" s="17" t="inlineStr">
        <is>
          <t>https://geoservis.si/</t>
        </is>
      </c>
      <c r="H72" s="19" t="n">
        <v>46251</v>
      </c>
      <c r="I72" s="18" t="inlineStr">
        <is>
          <t>Applied</t>
        </is>
      </c>
      <c r="J72" s="18" t="inlineStr"/>
      <c r="K72" s="14">
        <f>IF($H72="","",TODAY()-$H72)</f>
        <v/>
      </c>
      <c r="L72" s="19" t="inlineStr"/>
      <c r="M72" s="17" t="inlineStr"/>
      <c r="N72" s="19" t="inlineStr"/>
      <c r="O72" s="17" t="inlineStr"/>
      <c r="P72" s="17" t="inlineStr">
        <is>
          <t>info@geoservis.si</t>
        </is>
      </c>
      <c r="Q72" s="17" t="inlineStr">
        <is>
          <t>slovenia/2026_08_17_geoservis_open_application</t>
        </is>
      </c>
      <c r="R72" s="18" t="inlineStr">
        <is>
          <t>Medium</t>
        </is>
      </c>
      <c r="S72" s="17" t="inlineStr">
        <is>
          <t>Speculative pitch to a Leica Geosystems surveying/3D-scanning equipment distributor. Genuine fit via real scan-to-BIM point-cloud coursework and ArcGIS. No named contact or careers page found.</t>
        </is>
      </c>
    </row>
    <row r="73" ht="15" customHeight="1" s="21">
      <c r="A73" s="17" t="inlineStr">
        <is>
          <t>BIMING (Epoha d.o.o.)</t>
        </is>
      </c>
      <c r="B73" s="17" t="inlineStr">
        <is>
          <t>Open application – scan-to-BIM background</t>
        </is>
      </c>
      <c r="C73" s="17" t="inlineStr">
        <is>
          <t>Ljubljana, SI</t>
        </is>
      </c>
      <c r="D73" s="18" t="inlineStr"/>
      <c r="E73" s="17" t="inlineStr"/>
      <c r="F73" s="17" t="inlineStr">
        <is>
          <t>Networking</t>
        </is>
      </c>
      <c r="G73" s="17" t="inlineStr">
        <is>
          <t>https://biming.si/</t>
        </is>
      </c>
      <c r="H73" s="19" t="n">
        <v>46251</v>
      </c>
      <c r="I73" s="18" t="inlineStr">
        <is>
          <t>Applied</t>
        </is>
      </c>
      <c r="J73" s="18" t="inlineStr"/>
      <c r="K73" s="14">
        <f>IF($H73="","",TODAY()-$H73)</f>
        <v/>
      </c>
      <c r="L73" s="19" t="inlineStr"/>
      <c r="M73" s="17" t="inlineStr"/>
      <c r="N73" s="19" t="inlineStr"/>
      <c r="O73" s="17" t="inlineStr">
        <is>
          <t>Gregor Novakovic</t>
        </is>
      </c>
      <c r="P73" s="17" t="inlineStr">
        <is>
          <t>info@epoha.si</t>
        </is>
      </c>
      <c r="Q73" s="17" t="inlineStr">
        <is>
          <t>slovenia/2026_08_17_biming_gregor_novakovic</t>
        </is>
      </c>
      <c r="R73" s="18" t="inlineStr">
        <is>
          <t>High</t>
        </is>
      </c>
      <c r="S73" s="17" t="inlineStr">
        <is>
          <t>Exceptional fit — BIMING’s core business (point-cloud to BIM conversion) almost literally matches the candidate’s scan-to-BIM coursework. Addressed to named CEO.</t>
        </is>
      </c>
    </row>
    <row r="74" ht="15" customHeight="1" s="21">
      <c r="A74" s="17" t="inlineStr">
        <is>
          <t>Hilti</t>
        </is>
      </c>
      <c r="B74" s="17" t="inlineStr">
        <is>
          <t>Technical Engineer (Req. 18545)</t>
        </is>
      </c>
      <c r="C74" s="17" t="inlineStr">
        <is>
          <t>Trzin, SI</t>
        </is>
      </c>
      <c r="D74" s="18" t="inlineStr"/>
      <c r="E74" s="17" t="inlineStr"/>
      <c r="F74" s="17" t="inlineStr">
        <is>
          <t>Company Site</t>
        </is>
      </c>
      <c r="G74" s="17" t="inlineStr">
        <is>
          <t>https://careers.hilti.group/en/jobs/</t>
        </is>
      </c>
      <c r="H74" s="19" t="n">
        <v>46251</v>
      </c>
      <c r="I74" s="18" t="inlineStr">
        <is>
          <t>Applied</t>
        </is>
      </c>
      <c r="J74" s="18" t="inlineStr"/>
      <c r="K74" s="14">
        <f>IF($H74="","",TODAY()-$H74)</f>
        <v/>
      </c>
      <c r="L74" s="19" t="inlineStr"/>
      <c r="M74" s="17" t="inlineStr"/>
      <c r="N74" s="19" t="inlineStr"/>
      <c r="O74" s="17" t="inlineStr"/>
      <c r="P74" s="17" t="inlineStr"/>
      <c r="Q74" s="17" t="inlineStr">
        <is>
          <t>slovenia/2026_08_17_hilti_technical_engineer</t>
        </is>
      </c>
      <c r="R74" s="18" t="inlineStr">
        <is>
          <t>Medium</t>
        </is>
      </c>
      <c r="S74" s="17" t="inlineStr">
        <is>
          <t>General civil-engineering technical-consulting fit, not BIM-specific. Driving license omitted per standing instruction; 2 years experience gap not disclosed per updated default.</t>
        </is>
      </c>
    </row>
    <row r="75" ht="15" customHeight="1" s="21">
      <c r="A75" s="17" t="inlineStr">
        <is>
          <t>ELES, d.o.o.</t>
        </is>
      </c>
      <c r="B75" s="17" t="inlineStr">
        <is>
          <t>Administrator skupnega podatkovnega okolja (CDE/Dalux Administrator) — student work</t>
        </is>
      </c>
      <c r="C75" s="17" t="inlineStr">
        <is>
          <t>Ljubljana (Bericevo), SI</t>
        </is>
      </c>
      <c r="D75" s="18" t="n"/>
      <c r="E75" s="17" t="n"/>
      <c r="F75" s="17" t="inlineStr">
        <is>
          <t>Job Board</t>
        </is>
      </c>
      <c r="G75" s="17" t="inlineStr">
        <is>
          <t>https://www.eles.si/</t>
        </is>
      </c>
      <c r="H75" s="19" t="n">
        <v>46253</v>
      </c>
      <c r="I75" s="18" t="inlineStr">
        <is>
          <t>Applied</t>
        </is>
      </c>
      <c r="J75" s="18" t="n"/>
      <c r="K75" s="14">
        <f>IF($H75="","",TODAY()-$H75)</f>
        <v/>
      </c>
      <c r="L75" s="19" t="n"/>
      <c r="M75" s="17" t="n"/>
      <c r="N75" s="19" t="n"/>
      <c r="O75" s="17" t="n"/>
      <c r="P75" s="17" t="n"/>
      <c r="Q75" s="17" t="inlineStr">
        <is>
          <t>slovenia/2026_08_19_eles_cde_administrator</t>
        </is>
      </c>
      <c r="R75" s="18" t="inlineStr">
        <is>
          <t>High</t>
        </is>
      </c>
      <c r="S75" s="17" t="inlineStr">
        <is>
          <t>Strong fit: student role administering the CDE (Dalux) for an active BIM implementation project, explicitly targeting BIM-trained master's students. Profile led with CDE administration and ISO 19650 EIR validation experience.</t>
        </is>
      </c>
    </row>
    <row r="76" ht="15" customHeight="1" s="21">
      <c r="A76" s="17" t="inlineStr">
        <is>
          <t>Winthrop Technologies</t>
        </is>
      </c>
      <c r="B76" s="17" t="inlineStr">
        <is>
          <t>BIM Technician (MEP bias)</t>
        </is>
      </c>
      <c r="C76" s="17" t="inlineStr">
        <is>
          <t>Ballymount, Dublin 22, IE</t>
        </is>
      </c>
      <c r="D76" s="18" t="inlineStr">
        <is>
          <t>Office-based (5 days/week)</t>
        </is>
      </c>
      <c r="E76" s="17" t="n"/>
      <c r="F76" s="17" t="inlineStr">
        <is>
          <t>Company Site</t>
        </is>
      </c>
      <c r="G76" s="17" t="n"/>
      <c r="H76" s="19" t="n">
        <v>46253</v>
      </c>
      <c r="I76" s="18" t="inlineStr">
        <is>
          <t>Applied</t>
        </is>
      </c>
      <c r="J76" s="18" t="n"/>
      <c r="K76" s="14">
        <f>IF($H76="","",TODAY()-$H76)</f>
        <v/>
      </c>
      <c r="L76" s="19" t="n"/>
      <c r="M76" s="17" t="n"/>
      <c r="N76" s="19" t="n"/>
      <c r="O76" s="17" t="n"/>
      <c r="P76" s="17" t="n"/>
      <c r="Q76" s="17" t="inlineStr">
        <is>
          <t>ireland/2026_08_19_winthrop_bim_technician</t>
        </is>
      </c>
      <c r="R76" s="18" t="inlineStr">
        <is>
          <t>Medium</t>
        </is>
      </c>
      <c r="S76" s="17" t="inlineStr">
        <is>
          <t>Genuine tools fit (Revit, AutoCAD, MEP clash detection, ISO 19650 EIR), but posting asks for 2 years' MEP BIM experience and Navisworks, which are gaps not disclosed per standing policy.</t>
        </is>
      </c>
    </row>
    <row r="77" ht="15" customHeight="1" s="21">
      <c r="A77" s="17" t="inlineStr">
        <is>
          <t>Winthrop Technologies</t>
        </is>
      </c>
      <c r="B77" s="17" t="inlineStr">
        <is>
          <t>Graduate CSA Engineer 2026</t>
        </is>
      </c>
      <c r="C77" s="17" t="inlineStr">
        <is>
          <t>Dublin, IE</t>
        </is>
      </c>
      <c r="D77" s="18" t="n"/>
      <c r="E77" s="17" t="n"/>
      <c r="F77" s="17" t="inlineStr">
        <is>
          <t>Company Site</t>
        </is>
      </c>
      <c r="G77" s="17" t="n"/>
      <c r="H77" s="19" t="n">
        <v>46253</v>
      </c>
      <c r="I77" s="18" t="inlineStr">
        <is>
          <t>Applied</t>
        </is>
      </c>
      <c r="J77" s="18" t="n"/>
      <c r="K77" s="14">
        <f>IF($H77="","",TODAY()-$H77)</f>
        <v/>
      </c>
      <c r="L77" s="19" t="n"/>
      <c r="M77" s="17" t="n"/>
      <c r="N77" s="19" t="n"/>
      <c r="O77" s="17" t="n"/>
      <c r="P77" s="17" t="n"/>
      <c r="Q77" s="17" t="inlineStr">
        <is>
          <t>ireland/2026_08_19_winthrop_graduate_csa</t>
        </is>
      </c>
      <c r="R77" s="18" t="inlineStr">
        <is>
          <t>High</t>
        </is>
      </c>
      <c r="S77" s="17" t="inlineStr">
        <is>
          <t>Strong graduate-programme fit: civil engineering degree plus drawing-review and design-coordination experience map directly onto CSA responsibilities. Second application to Winthrop (also applied to BIM Technician role).</t>
        </is>
      </c>
    </row>
    <row r="78" ht="15" customHeight="1" s="21">
      <c r="A78" s="17" t="inlineStr">
        <is>
          <t>Confidential (family-owned technical installer)</t>
        </is>
      </c>
      <c r="B78" s="17" t="inlineStr">
        <is>
          <t>Junior Project Leader Techniques</t>
        </is>
      </c>
      <c r="C78" s="17" t="inlineStr">
        <is>
          <t>Poperinge, BE</t>
        </is>
      </c>
      <c r="D78" s="18" t="n"/>
      <c r="E78" s="17" t="n"/>
      <c r="F78" s="17" t="inlineStr">
        <is>
          <t>Job Board</t>
        </is>
      </c>
      <c r="G78" s="17" t="n"/>
      <c r="H78" s="19" t="n">
        <v>46255</v>
      </c>
      <c r="I78" s="18" t="inlineStr">
        <is>
          <t>Applied</t>
        </is>
      </c>
      <c r="J78" s="18" t="n"/>
      <c r="K78" s="14">
        <f>IF($H78="","",TODAY()-$H78)</f>
        <v/>
      </c>
      <c r="L78" s="19" t="n"/>
      <c r="M78" s="17" t="n"/>
      <c r="N78" s="19" t="n"/>
      <c r="O78" s="17" t="n"/>
      <c r="P78" s="17" t="n"/>
      <c r="Q78" s="17" t="inlineStr">
        <is>
          <t>belgium/2026_08_21_poperinge_junior_project_leader</t>
        </is>
      </c>
      <c r="R78" s="18" t="inlineStr">
        <is>
          <t>Low</t>
        </is>
      </c>
      <c r="S78" s="17" t="inlineStr">
        <is>
          <t>Long-shot: client-facing HVAC/technical PM role in West Flanders, likely requires Dutch which the candidate does not have. Applied at user's request with cover letter transparent about English working language and commitment to learn Dutch.</t>
        </is>
      </c>
    </row>
    <row r="79" ht="15" customHeight="1" s="21">
      <c r="A79" s="17" t="inlineStr">
        <is>
          <t>Drees &amp; Sommer</t>
        </is>
      </c>
      <c r="B79" s="17" t="inlineStr">
        <is>
          <t>(Junior) BIM Manager (m/f/d)</t>
        </is>
      </c>
      <c r="C79" s="17" t="inlineStr">
        <is>
          <t>Leipzig, DE</t>
        </is>
      </c>
      <c r="D79" s="18" t="n"/>
      <c r="E79" s="17" t="n"/>
      <c r="F79" s="17" t="inlineStr">
        <is>
          <t>Company Site</t>
        </is>
      </c>
      <c r="G79" s="17" t="inlineStr">
        <is>
          <t>https://jobs.smartrecruiters.com/DreesSommerSE/744000133970415--junior-bim-manager-w-m-d-</t>
        </is>
      </c>
      <c r="H79" s="19" t="n">
        <v>46259</v>
      </c>
      <c r="I79" s="18" t="inlineStr">
        <is>
          <t>Applied</t>
        </is>
      </c>
      <c r="J79" s="18" t="n"/>
      <c r="K79" s="14">
        <f>IF($H79="","",TODAY()-$H79)</f>
        <v/>
      </c>
      <c r="L79" s="19" t="n"/>
      <c r="M79" s="17" t="n"/>
      <c r="N79" s="19" t="n"/>
      <c r="O79" s="17" t="n"/>
      <c r="P79" s="17" t="n"/>
      <c r="Q79" s="17" t="inlineStr">
        <is>
          <t>germany/2026_08_25_drees_sommer_junior_bim_manager</t>
        </is>
      </c>
      <c r="R79" s="18" t="inlineStr">
        <is>
          <t>High</t>
        </is>
      </c>
      <c r="S79" s="17" t="inlineStr">
        <is>
          <t>Strong entry-level fit: BIM methodology implementation, cross-discipline coordination, and stakeholder-facing communication line up directly with the role. No photo included (standing gap, confirmed with user, no asset available).</t>
        </is>
      </c>
    </row>
    <row r="80" ht="15" customHeight="1" s="21">
      <c r="A80" s="17" t="inlineStr">
        <is>
          <t>CYPE</t>
        </is>
      </c>
      <c r="B80" s="17" t="inlineStr">
        <is>
          <t>BIM Software Developer (R&amp;D / interoperability, referral)</t>
        </is>
      </c>
      <c r="C80" s="17" t="inlineStr">
        <is>
          <t>Alicante, ES</t>
        </is>
      </c>
      <c r="D80" s="18" t="n"/>
      <c r="E80" s="17" t="n"/>
      <c r="F80" s="17" t="inlineStr">
        <is>
          <t>Referral</t>
        </is>
      </c>
      <c r="G80" s="17" t="n"/>
      <c r="H80" s="19" t="n">
        <v>46261</v>
      </c>
      <c r="I80" s="18" t="inlineStr">
        <is>
          <t>Applied</t>
        </is>
      </c>
      <c r="J80" s="18" t="n"/>
      <c r="K80" s="14">
        <f>IF($H80="","",TODAY()-$H80)</f>
        <v/>
      </c>
      <c r="L80" s="19" t="n"/>
      <c r="M80" s="17" t="n"/>
      <c r="N80" s="19" t="n"/>
      <c r="O80" s="17" t="n"/>
      <c r="P80" s="17" t="n"/>
      <c r="Q80" s="17" t="inlineStr">
        <is>
          <t>spain/2026_08_27_cype_bim_software_referral</t>
        </is>
      </c>
      <c r="R80" s="18" t="inlineStr">
        <is>
          <t>High</t>
        </is>
      </c>
      <c r="S80" s="17" t="inlineStr">
        <is>
          <t>Warm personal referral from an outgoing employee (R&amp;D on Horizon/LIFE EU projects plus BIM software interoperability with Revit). CV tailored toward software side (IfcToNeo4j, BIMGraphExplorer, Headstarter AI fellowship, in-progress That Open Company BIM software dev programme). No formal job posting/link.</t>
        </is>
      </c>
    </row>
    <row r="81" ht="15" customHeight="1" s="21">
      <c r="A81" s="17" t="inlineStr">
        <is>
          <t>Archnetix</t>
        </is>
      </c>
      <c r="B81" s="17" t="inlineStr">
        <is>
          <t>BIM tooling / automation developer (speculative)</t>
        </is>
      </c>
      <c r="C81" s="17" t="inlineStr">
        <is>
          <t>Islamabad, PK</t>
        </is>
      </c>
      <c r="D81" s="18" t="n"/>
      <c r="E81" s="17" t="n"/>
      <c r="F81" s="17" t="inlineStr">
        <is>
          <t>Referral</t>
        </is>
      </c>
      <c r="G81" s="17" t="inlineStr">
        <is>
          <t>https://www.archnetix.com/</t>
        </is>
      </c>
      <c r="H81" s="19" t="n"/>
      <c r="I81" s="18" t="inlineStr">
        <is>
          <t>To Apply</t>
        </is>
      </c>
      <c r="J81" s="18" t="n"/>
      <c r="K81" s="14">
        <f>IF($H81="","",TODAY()-$H81)</f>
        <v/>
      </c>
      <c r="L81" s="19" t="n"/>
      <c r="M81" s="17" t="inlineStr">
        <is>
          <t>Reach out to CEO via warm connection</t>
        </is>
      </c>
      <c r="N81" s="19" t="n"/>
      <c r="O81" s="17" t="n"/>
      <c r="P81" s="17" t="n"/>
      <c r="Q81" s="17" t="inlineStr">
        <is>
          <t>pakistan/2026_09_13_archnetix_bim_tooling</t>
        </is>
      </c>
      <c r="R81" s="18" t="inlineStr">
        <is>
          <t>High</t>
        </is>
      </c>
      <c r="S81" s="17" t="inlineStr">
        <is>
          <t>Dubai-HQ BIM services firm (Scan-to-BIM, coordination, archviz) with main production office in Bahria Town, Islamabad. Targeting the Islamabad office only; user does not want the UAE. They advertise no in-house software development, so the pitch is building tools/automation on top of their BIM models and data. Warm CEO connection is the route in. CV built; no message drafted yet.</t>
        </is>
      </c>
    </row>
    <row r="82" ht="15" customHeight="1" s="21">
      <c r="A82" s="17" t="inlineStr">
        <is>
          <t>FirstClass d.o.o. (recruiter)</t>
        </is>
      </c>
      <c r="B82" s="17" t="inlineStr">
        <is>
          <t>Sales Engineer (formwork and scaffolding)</t>
        </is>
      </c>
      <c r="C82" s="17" t="inlineStr">
        <is>
          <t>Ljubljana, SI / field across Slovenia</t>
        </is>
      </c>
      <c r="D82" s="18" t="inlineStr">
        <is>
          <t>On-site</t>
        </is>
      </c>
      <c r="E82" s="17" t="n"/>
      <c r="F82" s="17" t="inlineStr">
        <is>
          <t>Recruiter</t>
        </is>
      </c>
      <c r="G82" s="17" t="n"/>
      <c r="H82" s="19" t="n">
        <v>46285</v>
      </c>
      <c r="I82" s="18" t="inlineStr">
        <is>
          <t>Applied</t>
        </is>
      </c>
      <c r="J82" s="18" t="n"/>
      <c r="K82" s="14">
        <f>IF($H82="","",TODAY()-$H82)</f>
        <v/>
      </c>
      <c r="L82" s="19" t="n"/>
      <c r="M82" s="17" t="n"/>
      <c r="N82" s="19" t="n"/>
      <c r="O82" s="17" t="n"/>
      <c r="P82" s="17" t="n"/>
      <c r="Q82" s="17" t="inlineStr">
        <is>
          <t>slovenia/2026_09_20_firstclass_sales_engineer</t>
        </is>
      </c>
      <c r="R82" s="18" t="inlineStr">
        <is>
          <t>Medium</t>
        </is>
      </c>
      <c r="S82" s="17" t="inlineStr">
        <is>
          <t>End client not named: an international formwork and scaffolding company. Career pivot toward technical sales, so the CV drops the software/AI material and leads on construction, FIDIC contract exposure and 5D cost estimation. Posting asks for 1-3 years experience. Category B licence stated on the CV; user confirmed they hold one.</t>
        </is>
      </c>
    </row>
    <row r="83" ht="15" customHeight="1" s="21">
      <c r="A83" s="17" t="inlineStr">
        <is>
          <t>Spar Slovenija d.o.o.</t>
        </is>
      </c>
      <c r="B83" s="17" t="inlineStr">
        <is>
          <t>Facilities Maintenance Coordinator</t>
        </is>
      </c>
      <c r="C83" s="17" t="inlineStr">
        <is>
          <t>Ljubljana, SI</t>
        </is>
      </c>
      <c r="D83" s="18" t="inlineStr">
        <is>
          <t>Hybrid</t>
        </is>
      </c>
      <c r="E83" s="17" t="n"/>
      <c r="F83" s="17" t="inlineStr">
        <is>
          <t>Job Board</t>
        </is>
      </c>
      <c r="G83" s="17" t="n"/>
      <c r="H83" s="19" t="n">
        <v>46285</v>
      </c>
      <c r="I83" s="18" t="inlineStr">
        <is>
          <t>Applied</t>
        </is>
      </c>
      <c r="J83" s="18" t="n"/>
      <c r="K83" s="14">
        <f>IF($H83="","",TODAY()-$H83)</f>
        <v/>
      </c>
      <c r="L83" s="19" t="n"/>
      <c r="M83" s="17" t="n"/>
      <c r="N83" s="19" t="n"/>
      <c r="O83" s="17" t="n"/>
      <c r="P83" s="17" t="n"/>
      <c r="Q83" s="17" t="inlineStr">
        <is>
          <t>slovenia/2026_09_20_spar_facilities_coordinator</t>
        </is>
      </c>
      <c r="R83" s="18" t="inlineStr">
        <is>
          <t>Medium</t>
        </is>
      </c>
      <c r="S83" s="17" t="inlineStr">
        <is>
          <t>Centralising maintenance across 100 Spar stores and 13 Interspar centres. Education far exceeds the 5th-level minimum; energy management coursework maps to the building energy duty, 5D cost estimation to cost analyses, FIDIC internship to tenders/orders/contracts. Category B licence stated for branch inspections. Slovene A1 is the main soft risk.</t>
        </is>
      </c>
    </row>
    <row r="84" ht="15" customHeight="1" s="21">
      <c r="A84" s="17" t="inlineStr">
        <is>
          <t>Iskra d.o.o.</t>
        </is>
      </c>
      <c r="B84" s="17" t="inlineStr">
        <is>
          <t>Order and production coordinator (customers/sales/logistics link)</t>
        </is>
      </c>
      <c r="C84" s="17" t="inlineStr">
        <is>
          <t>Slovenia (Kranj / Ljubljana area)</t>
        </is>
      </c>
      <c r="D84" s="18" t="n"/>
      <c r="E84" s="17" t="n"/>
      <c r="F84" s="17" t="inlineStr">
        <is>
          <t>Job Board</t>
        </is>
      </c>
      <c r="G84" s="17" t="inlineStr">
        <is>
          <t>https://www.iskra.si/</t>
        </is>
      </c>
      <c r="H84" s="19" t="n">
        <v>46285</v>
      </c>
      <c r="I84" s="18" t="inlineStr">
        <is>
          <t>Applied</t>
        </is>
      </c>
      <c r="J84" s="18" t="n"/>
      <c r="K84" s="14">
        <f>IF($H84="","",TODAY()-$H84)</f>
        <v/>
      </c>
      <c r="L84" s="19" t="n"/>
      <c r="M84" s="17" t="n"/>
      <c r="N84" s="19" t="n"/>
      <c r="O84" s="17" t="n"/>
      <c r="P84" s="17" t="n"/>
      <c r="Q84" s="17" t="inlineStr">
        <is>
          <t>slovenia/2026_09_20_iskra_order_coordinator</t>
        </is>
      </c>
      <c r="R84" s="18" t="inlineStr">
        <is>
          <t>Low</t>
        </is>
      </c>
      <c r="S84" s="17" t="inlineStr">
        <is>
          <t>Long-shot, flagged to user before building. Posting wants economics/commerce/logistics education capped at VI/2, 1-3 years experience, and lists ERP, logistics and transport organisation as advantages, none of which the candidate has. Built on transferable coordination, FIDIC document review, process modelling and cost analysis instead.</t>
        </is>
      </c>
    </row>
    <row r="85" ht="15" customHeight="1" s="21">
      <c r="A85" s="17" t="inlineStr">
        <is>
          <t>Sumer d.o.o.</t>
        </is>
      </c>
      <c r="B85" s="17" t="inlineStr">
        <is>
          <t>Technical documentation / production technologist</t>
        </is>
      </c>
      <c r="C85" s="17" t="inlineStr">
        <is>
          <t>Slovenia</t>
        </is>
      </c>
      <c r="D85" s="18" t="n"/>
      <c r="E85" s="17" t="n"/>
      <c r="F85" s="17" t="inlineStr">
        <is>
          <t>Job Board</t>
        </is>
      </c>
      <c r="G85" s="17" t="inlineStr">
        <is>
          <t>http://www.sumer.si/</t>
        </is>
      </c>
      <c r="H85" s="19" t="n">
        <v>46285</v>
      </c>
      <c r="I85" s="18" t="inlineStr">
        <is>
          <t>Applied</t>
        </is>
      </c>
      <c r="J85" s="18" t="n"/>
      <c r="K85" s="14">
        <f>IF($H85="","",TODAY()-$H85)</f>
        <v/>
      </c>
      <c r="L85" s="19" t="n"/>
      <c r="M85" s="17" t="n"/>
      <c r="N85" s="19" t="n"/>
      <c r="O85" s="17" t="n"/>
      <c r="P85" s="17" t="n"/>
      <c r="Q85" s="17" t="inlineStr">
        <is>
          <t>slovenia/2026_09_20_sumer_technical_documentation</t>
        </is>
      </c>
      <c r="R85" s="18" t="inlineStr">
        <is>
          <t>Low</t>
        </is>
      </c>
      <c r="S85" s="17" t="inlineStr">
        <is>
          <t>Long-shot, flagged before building. Plastics injection moulding manufacturer; core duties (injection programs, tool testing, first-piece approval under ISO/TS 16949, production time norms, mechanical working drawings) need mechanical/moulding training the candidate lacks. Stated expectations are only behavioural, which is the one opening. Built on document control, cost estimation, quality validation and supplier checking.</t>
        </is>
      </c>
    </row>
    <row r="86" ht="15" customHeight="1" s="21">
      <c r="A86" s="17" t="inlineStr">
        <is>
          <t>HRM solutions d.o.o. (recruiter)</t>
        </is>
      </c>
      <c r="B86" s="17" t="inlineStr">
        <is>
          <t>Constructor / mechanical design engineer (aerospace client)</t>
        </is>
      </c>
      <c r="C86" s="17" t="inlineStr">
        <is>
          <t>Slovenia</t>
        </is>
      </c>
      <c r="D86" s="18" t="n"/>
      <c r="E86" s="17" t="inlineStr">
        <is>
          <t>EUR 2,200 - 2,500 gross/month</t>
        </is>
      </c>
      <c r="F86" s="17" t="inlineStr">
        <is>
          <t>Recruiter</t>
        </is>
      </c>
      <c r="G86" s="17" t="inlineStr">
        <is>
          <t>https://hrm-resitve.si/</t>
        </is>
      </c>
      <c r="H86" s="19" t="n">
        <v>46285</v>
      </c>
      <c r="I86" s="18" t="inlineStr">
        <is>
          <t>Applied</t>
        </is>
      </c>
      <c r="J86" s="18" t="n"/>
      <c r="K86" s="14">
        <f>IF($H86="","",TODAY()-$H86)</f>
        <v/>
      </c>
      <c r="L86" s="19" t="n"/>
      <c r="M86" s="17" t="inlineStr">
        <is>
          <t>Consider a separate speculative registration with this agency for BIM/construction roles</t>
        </is>
      </c>
      <c r="N86" s="19" t="n"/>
      <c r="O86" s="17" t="n"/>
      <c r="P86" s="17" t="n"/>
      <c r="Q86" s="17" t="inlineStr">
        <is>
          <t>slovenia/2026_09_20_hrm_solutions_constructor</t>
        </is>
      </c>
      <c r="R86" s="18" t="inlineStr">
        <is>
          <t>Low</t>
        </is>
      </c>
      <c r="S86" s="17" t="inlineStr">
        <is>
          <t>Weakest fit of the 20 Sep batch, flagged before building. Posting explicitly requires a mechanical engineering degree and states 3 years experience as mandatory; salary band indicates they are buying experience. End client is in aerospace. Built on 3D modelling from 2D drawings, quantity take-off as BOM analog, and document approval workflows. Agency is worth a separate speculative approach in the candidate's actual field.</t>
        </is>
      </c>
    </row>
    <row r="87" ht="15" customHeight="1" s="21">
      <c r="A87" s="17" t="inlineStr">
        <is>
          <t>SZ-Infrastruktura d.o.o. (Slovenske zeleznice)</t>
        </is>
      </c>
      <c r="B87" s="17" t="inlineStr">
        <is>
          <t>Professional Associate I, NOC GSM-R supervision (ref. 180/26)</t>
        </is>
      </c>
      <c r="C87" s="17" t="inlineStr">
        <is>
          <t>Ljubljana, SI</t>
        </is>
      </c>
      <c r="D87" s="18" t="inlineStr">
        <is>
          <t>On-site</t>
        </is>
      </c>
      <c r="E87" s="17" t="n"/>
      <c r="F87" s="17" t="inlineStr">
        <is>
          <t>Company Site</t>
        </is>
      </c>
      <c r="G87" s="17" t="inlineStr">
        <is>
          <t>https://www.sz.si/kariera/</t>
        </is>
      </c>
      <c r="H87" s="19" t="n">
        <v>46285</v>
      </c>
      <c r="I87" s="18" t="inlineStr">
        <is>
          <t>Applied</t>
        </is>
      </c>
      <c r="J87" s="18" t="n"/>
      <c r="K87" s="14">
        <f>IF($H87="","",TODAY()-$H87)</f>
        <v/>
      </c>
      <c r="L87" s="19" t="n"/>
      <c r="M87" s="17" t="n"/>
      <c r="N87" s="19" t="n">
        <v>46288</v>
      </c>
      <c r="O87" s="17" t="n"/>
      <c r="P87" s="17" t="n"/>
      <c r="Q87" s="17" t="inlineStr">
        <is>
          <t>slovenia/2026_09_20_sz_infrastruktura_noc_gsmr</t>
        </is>
      </c>
      <c r="R87" s="18" t="inlineStr">
        <is>
          <t>Medium</t>
        </is>
      </c>
      <c r="S87" s="17" t="inlineStr">
        <is>
          <t>Posting deadline 23 Sep 2026; 2 positions. Best of the 20 Sep batch after Spar: education condition says relevant field with electrical engineering only preferred, experience bar is 12 months, and selected candidates are trained for the telecoms technician qualification. Hooks: maintenance process coordination/optimisation and technical bases for tenders. Gaps: no telecom/EE background, no 12 months similar experience. Fixed-term 1 year with 4-month probation.</t>
        </is>
      </c>
    </row>
    <row r="88" ht="15" customHeight="1" s="21">
      <c r="A88" s="17" t="inlineStr">
        <is>
          <t>Mercor</t>
        </is>
      </c>
      <c r="B88" s="17" t="inlineStr">
        <is>
          <t>AI Safety Expert, red teaming (English &amp; Urdu)</t>
        </is>
      </c>
      <c r="C88" s="17" t="inlineStr">
        <is>
          <t>Remote</t>
        </is>
      </c>
      <c r="D88" s="18" t="inlineStr">
        <is>
          <t>Remote</t>
        </is>
      </c>
      <c r="E88" s="17" t="inlineStr">
        <is>
          <t>USD 16 - 22/hour, contractor</t>
        </is>
      </c>
      <c r="F88" s="17" t="inlineStr">
        <is>
          <t>Job Board</t>
        </is>
      </c>
      <c r="G88" s="17" t="n"/>
      <c r="H88" s="19" t="n">
        <v>46295</v>
      </c>
      <c r="I88" s="18" t="inlineStr">
        <is>
          <t>Applied</t>
        </is>
      </c>
      <c r="J88" s="18" t="n"/>
      <c r="K88" s="14">
        <f>IF($H88="","",TODAY()-$H88)</f>
        <v/>
      </c>
      <c r="L88" s="19" t="n"/>
      <c r="M88" s="17" t="n"/>
      <c r="N88" s="19" t="n"/>
      <c r="O88" s="17" t="n"/>
      <c r="P88" s="17" t="n"/>
      <c r="Q88" s="17" t="inlineStr">
        <is>
          <t>remote/2026_09_30_mercor_ai_safety_red_team</t>
        </is>
      </c>
      <c r="R88" s="18" t="inlineStr">
        <is>
          <t>High</t>
        </is>
      </c>
      <c r="S88" s="17" t="inlineStr">
        <is>
          <t>Best substantive fit to date: the MSc thesis is itself a systematic LLM evaluation study (validated judge, matched conditions, 23 datasets, 367 questions, prompt-design ablation), which is the methodology this role wants. Urdu native fluency is the hard gate and was confirmed for the first time on this date. English corrected to C2 from the understated C1 used on all prior CVs. Gaps: no formal red teaming or cybersecurity background, both listed only as nice-to-have. Independent contractor engagement, weekly Stripe/Wise.</t>
        </is>
      </c>
    </row>
    <row r="89" ht="15" customHeight="1" s="21">
      <c r="A89" s="17" t="inlineStr">
        <is>
          <t>Brickborne</t>
        </is>
      </c>
      <c r="B89" s="17" t="inlineStr">
        <is>
          <t>BIM specialist / Revit modelling (speculative, no posting)</t>
        </is>
      </c>
      <c r="C89" s="17" t="inlineStr">
        <is>
          <t>California, USA (remote)</t>
        </is>
      </c>
      <c r="D89" s="18" t="inlineStr">
        <is>
          <t>Remote</t>
        </is>
      </c>
      <c r="E89" s="17" t="n"/>
      <c r="F89" s="17" t="inlineStr">
        <is>
          <t>Company Site</t>
        </is>
      </c>
      <c r="G89" s="17" t="inlineStr">
        <is>
          <t>https://brickborne.com/</t>
        </is>
      </c>
      <c r="H89" s="19" t="n"/>
      <c r="I89" s="18" t="inlineStr">
        <is>
          <t>To Apply</t>
        </is>
      </c>
      <c r="J89" s="18" t="n"/>
      <c r="K89" s="14">
        <f>IF($H89="","",TODAY()-$H89)</f>
        <v/>
      </c>
      <c r="L89" s="19" t="n"/>
      <c r="M89" s="17" t="inlineStr">
        <is>
          <t>Send speculative outreach to founder Hamza Khan (shared NUST alma mater)</t>
        </is>
      </c>
      <c r="N89" s="19" t="n"/>
      <c r="O89" s="17" t="inlineStr">
        <is>
          <t>Hamza Khan (founder/CEO)</t>
        </is>
      </c>
      <c r="P89" s="17" t="n"/>
      <c r="Q89" s="17" t="inlineStr">
        <is>
          <t>usa/2026_10_08_brickborne_bim_specialist</t>
        </is>
      </c>
      <c r="R89" s="18" t="inlineStr">
        <is>
          <t>Medium</t>
        </is>
      </c>
      <c r="S89" s="17" t="inlineStr">
        <is>
          <t>Small founder-led drafting/BIM firm, no careers page, so speculative. Services: permit drawings, construction documentation, CAD drafting, BIM modelling, scan-to-BIM, MEP/HVAC drawings, rendering, quantity surveying. Stack Revit/AutoCAD/Navisworks. Founder Hamza Khan is a NUST civil engineering graduate, same alma mater, which is the warm hook for outreach. Gaps: no Navisworks and no rendering/visualisation tools, both left unclaimed. CV built; outreach message not yet written.</t>
        </is>
      </c>
    </row>
    <row r="90" ht="15" customHeight="1" s="21">
      <c r="A90" s="11" t="n"/>
      <c r="B90" s="11" t="n"/>
      <c r="C90" s="11" t="n"/>
      <c r="D90" s="12" t="n"/>
      <c r="E90" s="11" t="n"/>
      <c r="F90" s="11" t="n"/>
      <c r="G90" s="11" t="n"/>
      <c r="H90" s="13" t="n"/>
      <c r="I90" s="12" t="n"/>
      <c r="J90" s="12" t="n"/>
      <c r="K90" s="14">
        <f>IF($H90="","",TODAY()-$H90)</f>
        <v/>
      </c>
      <c r="L90" s="13" t="n"/>
      <c r="M90" s="11" t="n"/>
      <c r="N90" s="13" t="n"/>
      <c r="O90" s="11" t="n"/>
      <c r="P90" s="11" t="n"/>
      <c r="Q90" s="11" t="n"/>
      <c r="R90" s="12" t="n"/>
      <c r="S90" s="11" t="n"/>
    </row>
    <row r="91" ht="15" customHeight="1" s="21">
      <c r="A91" s="11" t="n"/>
      <c r="B91" s="11" t="n"/>
      <c r="C91" s="11" t="n"/>
      <c r="D91" s="12" t="n"/>
      <c r="E91" s="11" t="n"/>
      <c r="F91" s="11" t="n"/>
      <c r="G91" s="11" t="n"/>
      <c r="H91" s="13" t="n"/>
      <c r="I91" s="12" t="n"/>
      <c r="J91" s="12" t="n"/>
      <c r="K91" s="14">
        <f>IF($H91="","",TODAY()-$H91)</f>
        <v/>
      </c>
      <c r="L91" s="13" t="n"/>
      <c r="M91" s="11" t="n"/>
      <c r="N91" s="13" t="n"/>
      <c r="O91" s="11" t="n"/>
      <c r="P91" s="11" t="n"/>
      <c r="Q91" s="11" t="n"/>
      <c r="R91" s="12" t="n"/>
      <c r="S91" s="11" t="n"/>
    </row>
    <row r="92" ht="15" customHeight="1" s="21">
      <c r="A92" s="11" t="n"/>
      <c r="B92" s="11" t="n"/>
      <c r="C92" s="11" t="n"/>
      <c r="D92" s="12" t="n"/>
      <c r="E92" s="11" t="n"/>
      <c r="F92" s="11" t="n"/>
      <c r="G92" s="11" t="n"/>
      <c r="H92" s="13" t="n"/>
      <c r="I92" s="12" t="n"/>
      <c r="J92" s="12" t="n"/>
      <c r="K92" s="14">
        <f>IF($H92="","",TODAY()-$H92)</f>
        <v/>
      </c>
      <c r="L92" s="13" t="n"/>
      <c r="M92" s="11" t="n"/>
      <c r="N92" s="13" t="n"/>
      <c r="O92" s="11" t="n"/>
      <c r="P92" s="11" t="n"/>
      <c r="Q92" s="11" t="n"/>
      <c r="R92" s="12" t="n"/>
      <c r="S92" s="11" t="n"/>
    </row>
    <row r="93" ht="15" customHeight="1" s="21">
      <c r="A93" s="11" t="n"/>
      <c r="B93" s="11" t="n"/>
      <c r="C93" s="11" t="n"/>
      <c r="D93" s="12" t="n"/>
      <c r="E93" s="11" t="n"/>
      <c r="F93" s="11" t="n"/>
      <c r="G93" s="11" t="n"/>
      <c r="H93" s="13" t="n"/>
      <c r="I93" s="12" t="n"/>
      <c r="J93" s="12" t="n"/>
      <c r="K93" s="14">
        <f>IF($H93="","",TODAY()-$H93)</f>
        <v/>
      </c>
      <c r="L93" s="13" t="n"/>
      <c r="M93" s="11" t="n"/>
      <c r="N93" s="13" t="n"/>
      <c r="O93" s="11" t="n"/>
      <c r="P93" s="11" t="n"/>
      <c r="Q93" s="11" t="n"/>
      <c r="R93" s="12" t="n"/>
      <c r="S93" s="11" t="n"/>
    </row>
    <row r="94" ht="15" customHeight="1" s="21">
      <c r="A94" s="11" t="n"/>
      <c r="B94" s="11" t="n"/>
      <c r="C94" s="11" t="n"/>
      <c r="D94" s="12" t="n"/>
      <c r="E94" s="11" t="n"/>
      <c r="F94" s="11" t="n"/>
      <c r="G94" s="11" t="n"/>
      <c r="H94" s="13" t="n"/>
      <c r="I94" s="12" t="n"/>
      <c r="J94" s="12" t="n"/>
      <c r="K94" s="14">
        <f>IF($H94="","",TODAY()-$H94)</f>
        <v/>
      </c>
      <c r="L94" s="13" t="n"/>
      <c r="M94" s="11" t="n"/>
      <c r="N94" s="13" t="n"/>
      <c r="O94" s="11" t="n"/>
      <c r="P94" s="11" t="n"/>
      <c r="Q94" s="11" t="n"/>
      <c r="R94" s="12" t="n"/>
      <c r="S94" s="11" t="n"/>
    </row>
    <row r="95" ht="15" customHeight="1" s="21">
      <c r="A95" s="11" t="n"/>
      <c r="B95" s="11" t="n"/>
      <c r="C95" s="11" t="n"/>
      <c r="D95" s="12" t="n"/>
      <c r="E95" s="11" t="n"/>
      <c r="F95" s="11" t="n"/>
      <c r="G95" s="11" t="n"/>
      <c r="H95" s="13" t="n"/>
      <c r="I95" s="12" t="n"/>
      <c r="J95" s="12" t="n"/>
      <c r="K95" s="14">
        <f>IF($H95="","",TODAY()-$H95)</f>
        <v/>
      </c>
      <c r="L95" s="13" t="n"/>
      <c r="M95" s="11" t="n"/>
      <c r="N95" s="13" t="n"/>
      <c r="O95" s="11" t="n"/>
      <c r="P95" s="11" t="n"/>
      <c r="Q95" s="11" t="n"/>
      <c r="R95" s="12" t="n"/>
      <c r="S95" s="11" t="n"/>
    </row>
    <row r="96" ht="15" customHeight="1" s="21">
      <c r="A96" s="11" t="n"/>
      <c r="B96" s="11" t="n"/>
      <c r="C96" s="11" t="n"/>
      <c r="D96" s="12" t="n"/>
      <c r="E96" s="11" t="n"/>
      <c r="F96" s="11" t="n"/>
      <c r="G96" s="11" t="n"/>
      <c r="H96" s="13" t="n"/>
      <c r="I96" s="12" t="n"/>
      <c r="J96" s="12" t="n"/>
      <c r="K96" s="14">
        <f>IF($H96="","",TODAY()-$H96)</f>
        <v/>
      </c>
      <c r="L96" s="13" t="n"/>
      <c r="M96" s="11" t="n"/>
      <c r="N96" s="13" t="n"/>
      <c r="O96" s="11" t="n"/>
      <c r="P96" s="11" t="n"/>
      <c r="Q96" s="11" t="n"/>
      <c r="R96" s="12" t="n"/>
      <c r="S96" s="11" t="n"/>
    </row>
    <row r="97" ht="15" customHeight="1" s="21">
      <c r="A97" s="11" t="n"/>
      <c r="B97" s="11" t="n"/>
      <c r="C97" s="11" t="n"/>
      <c r="D97" s="12" t="n"/>
      <c r="E97" s="11" t="n"/>
      <c r="F97" s="11" t="n"/>
      <c r="G97" s="11" t="n"/>
      <c r="H97" s="13" t="n"/>
      <c r="I97" s="12" t="n"/>
      <c r="J97" s="12" t="n"/>
      <c r="K97" s="14">
        <f>IF($H97="","",TODAY()-$H97)</f>
        <v/>
      </c>
      <c r="L97" s="13" t="n"/>
      <c r="M97" s="11" t="n"/>
      <c r="N97" s="13" t="n"/>
      <c r="O97" s="11" t="n"/>
      <c r="P97" s="11" t="n"/>
      <c r="Q97" s="11" t="n"/>
      <c r="R97" s="12" t="n"/>
      <c r="S97" s="11" t="n"/>
    </row>
    <row r="98" ht="15" customHeight="1" s="21">
      <c r="A98" s="11" t="n"/>
      <c r="B98" s="11" t="n"/>
      <c r="C98" s="11" t="n"/>
      <c r="D98" s="12" t="n"/>
      <c r="E98" s="11" t="n"/>
      <c r="F98" s="11" t="n"/>
      <c r="G98" s="11" t="n"/>
      <c r="H98" s="13" t="n"/>
      <c r="I98" s="12" t="n"/>
      <c r="J98" s="12" t="n"/>
      <c r="K98" s="14">
        <f>IF($H98="","",TODAY()-$H98)</f>
        <v/>
      </c>
      <c r="L98" s="13" t="n"/>
      <c r="M98" s="11" t="n"/>
      <c r="N98" s="13" t="n"/>
      <c r="O98" s="11" t="n"/>
      <c r="P98" s="11" t="n"/>
      <c r="Q98" s="11" t="n"/>
      <c r="R98" s="12" t="n"/>
      <c r="S98" s="11" t="n"/>
    </row>
    <row r="99" ht="15" customHeight="1" s="21">
      <c r="A99" s="11" t="n"/>
      <c r="B99" s="11" t="n"/>
      <c r="C99" s="11" t="n"/>
      <c r="D99" s="12" t="n"/>
      <c r="E99" s="11" t="n"/>
      <c r="F99" s="11" t="n"/>
      <c r="G99" s="11" t="n"/>
      <c r="H99" s="13" t="n"/>
      <c r="I99" s="12" t="n"/>
      <c r="J99" s="12" t="n"/>
      <c r="K99" s="14">
        <f>IF($H99="","",TODAY()-$H99)</f>
        <v/>
      </c>
      <c r="L99" s="13" t="n"/>
      <c r="M99" s="11" t="n"/>
      <c r="N99" s="13" t="n"/>
      <c r="O99" s="11" t="n"/>
      <c r="P99" s="11" t="n"/>
      <c r="Q99" s="11" t="n"/>
      <c r="R99" s="12" t="n"/>
      <c r="S99" s="11" t="n"/>
    </row>
    <row r="100" ht="15" customHeight="1" s="21">
      <c r="A100" s="11" t="n"/>
      <c r="B100" s="11" t="n"/>
      <c r="C100" s="11" t="n"/>
      <c r="D100" s="12" t="n"/>
      <c r="E100" s="11" t="n"/>
      <c r="F100" s="11" t="n"/>
      <c r="G100" s="11" t="n"/>
      <c r="H100" s="13" t="n"/>
      <c r="I100" s="12" t="n"/>
      <c r="J100" s="12" t="n"/>
      <c r="K100" s="14">
        <f>IF($H100="","",TODAY()-$H100)</f>
        <v/>
      </c>
      <c r="L100" s="13" t="n"/>
      <c r="M100" s="11" t="n"/>
      <c r="N100" s="13" t="n"/>
      <c r="O100" s="11" t="n"/>
      <c r="P100" s="11" t="n"/>
      <c r="Q100" s="11" t="n"/>
      <c r="R100" s="12" t="n"/>
      <c r="S100" s="11" t="n"/>
    </row>
    <row r="101" ht="15" customHeight="1" s="21">
      <c r="A101" s="11" t="n"/>
      <c r="B101" s="11" t="n"/>
      <c r="C101" s="11" t="n"/>
      <c r="D101" s="12" t="n"/>
      <c r="E101" s="11" t="n"/>
      <c r="F101" s="11" t="n"/>
      <c r="G101" s="11" t="n"/>
      <c r="H101" s="13" t="n"/>
      <c r="I101" s="12" t="n"/>
      <c r="J101" s="12" t="n"/>
      <c r="K101" s="14">
        <f>IF($H101="","",TODAY()-$H101)</f>
        <v/>
      </c>
      <c r="L101" s="13" t="n"/>
      <c r="M101" s="11" t="n"/>
      <c r="N101" s="13" t="n"/>
      <c r="O101" s="11" t="n"/>
      <c r="P101" s="11" t="n"/>
      <c r="Q101" s="11" t="n"/>
      <c r="R101" s="12" t="n"/>
      <c r="S101" s="11" t="n"/>
    </row>
    <row r="102" ht="15" customHeight="1" s="21">
      <c r="A102" s="11" t="n"/>
      <c r="B102" s="11" t="n"/>
      <c r="C102" s="11" t="n"/>
      <c r="D102" s="12" t="n"/>
      <c r="E102" s="11" t="n"/>
      <c r="F102" s="11" t="n"/>
      <c r="G102" s="11" t="n"/>
      <c r="H102" s="13" t="n"/>
      <c r="I102" s="12" t="n"/>
      <c r="J102" s="12" t="n"/>
      <c r="K102" s="14">
        <f>IF($H102="","",TODAY()-$H102)</f>
        <v/>
      </c>
      <c r="L102" s="13" t="n"/>
      <c r="M102" s="11" t="n"/>
      <c r="N102" s="13" t="n"/>
      <c r="O102" s="11" t="n"/>
      <c r="P102" s="11" t="n"/>
      <c r="Q102" s="11" t="n"/>
      <c r="R102" s="12" t="n"/>
      <c r="S102" s="11" t="n"/>
    </row>
    <row r="103" ht="15" customHeight="1" s="21">
      <c r="A103" s="11" t="n"/>
      <c r="B103" s="11" t="n"/>
      <c r="C103" s="11" t="n"/>
      <c r="D103" s="12" t="n"/>
      <c r="E103" s="11" t="n"/>
      <c r="F103" s="11" t="n"/>
      <c r="G103" s="11" t="n"/>
      <c r="H103" s="13" t="n"/>
      <c r="I103" s="12" t="n"/>
      <c r="J103" s="12" t="n"/>
      <c r="K103" s="14">
        <f>IF($H103="","",TODAY()-$H103)</f>
        <v/>
      </c>
      <c r="L103" s="13" t="n"/>
      <c r="M103" s="11" t="n"/>
      <c r="N103" s="13" t="n"/>
      <c r="O103" s="11" t="n"/>
      <c r="P103" s="11" t="n"/>
      <c r="Q103" s="11" t="n"/>
      <c r="R103" s="12" t="n"/>
      <c r="S103" s="11" t="n"/>
    </row>
    <row r="104" ht="15" customHeight="1" s="21">
      <c r="A104" s="11" t="n"/>
      <c r="B104" s="11" t="n"/>
      <c r="C104" s="11" t="n"/>
      <c r="D104" s="12" t="n"/>
      <c r="E104" s="11" t="n"/>
      <c r="F104" s="11" t="n"/>
      <c r="G104" s="11" t="n"/>
      <c r="H104" s="13" t="n"/>
      <c r="I104" s="12" t="n"/>
      <c r="J104" s="12" t="n"/>
      <c r="K104" s="14">
        <f>IF($H104="","",TODAY()-$H104)</f>
        <v/>
      </c>
      <c r="L104" s="13" t="n"/>
      <c r="M104" s="11" t="n"/>
      <c r="N104" s="13" t="n"/>
      <c r="O104" s="11" t="n"/>
      <c r="P104" s="11" t="n"/>
      <c r="Q104" s="11" t="n"/>
      <c r="R104" s="12" t="n"/>
      <c r="S104" s="11" t="n"/>
    </row>
    <row r="105" ht="15" customHeight="1" s="21">
      <c r="A105" s="11" t="n"/>
      <c r="B105" s="11" t="n"/>
      <c r="C105" s="11" t="n"/>
      <c r="D105" s="12" t="n"/>
      <c r="E105" s="11" t="n"/>
      <c r="F105" s="11" t="n"/>
      <c r="G105" s="11" t="n"/>
      <c r="H105" s="13" t="n"/>
      <c r="I105" s="12" t="n"/>
      <c r="J105" s="12" t="n"/>
      <c r="K105" s="14">
        <f>IF($H105="","",TODAY()-$H105)</f>
        <v/>
      </c>
      <c r="L105" s="13" t="n"/>
      <c r="M105" s="11" t="n"/>
      <c r="N105" s="13" t="n"/>
      <c r="O105" s="11" t="n"/>
      <c r="P105" s="11" t="n"/>
      <c r="Q105" s="11" t="n"/>
      <c r="R105" s="12" t="n"/>
      <c r="S105" s="11" t="n"/>
    </row>
    <row r="106" ht="15" customHeight="1" s="21">
      <c r="A106" s="11" t="n"/>
      <c r="B106" s="11" t="n"/>
      <c r="C106" s="11" t="n"/>
      <c r="D106" s="12" t="n"/>
      <c r="E106" s="11" t="n"/>
      <c r="F106" s="11" t="n"/>
      <c r="G106" s="11" t="n"/>
      <c r="H106" s="13" t="n"/>
      <c r="I106" s="12" t="n"/>
      <c r="J106" s="12" t="n"/>
      <c r="K106" s="14">
        <f>IF($H106="","",TODAY()-$H106)</f>
        <v/>
      </c>
      <c r="L106" s="13" t="n"/>
      <c r="M106" s="11" t="n"/>
      <c r="N106" s="13" t="n"/>
      <c r="O106" s="11" t="n"/>
      <c r="P106" s="11" t="n"/>
      <c r="Q106" s="11" t="n"/>
      <c r="R106" s="12" t="n"/>
      <c r="S106" s="11" t="n"/>
    </row>
    <row r="107" ht="15" customHeight="1" s="21">
      <c r="A107" s="11" t="n"/>
      <c r="B107" s="11" t="n"/>
      <c r="C107" s="11" t="n"/>
      <c r="D107" s="12" t="n"/>
      <c r="E107" s="11" t="n"/>
      <c r="F107" s="11" t="n"/>
      <c r="G107" s="11" t="n"/>
      <c r="H107" s="13" t="n"/>
      <c r="I107" s="12" t="n"/>
      <c r="J107" s="12" t="n"/>
      <c r="K107" s="14">
        <f>IF($H107="","",TODAY()-$H107)</f>
        <v/>
      </c>
      <c r="L107" s="13" t="n"/>
      <c r="M107" s="11" t="n"/>
      <c r="N107" s="13" t="n"/>
      <c r="O107" s="11" t="n"/>
      <c r="P107" s="11" t="n"/>
      <c r="Q107" s="11" t="n"/>
      <c r="R107" s="12" t="n"/>
      <c r="S107" s="11" t="n"/>
    </row>
    <row r="108" ht="15" customHeight="1" s="21">
      <c r="A108" s="11" t="n"/>
      <c r="B108" s="11" t="n"/>
      <c r="C108" s="11" t="n"/>
      <c r="D108" s="12" t="n"/>
      <c r="E108" s="11" t="n"/>
      <c r="F108" s="11" t="n"/>
      <c r="G108" s="11" t="n"/>
      <c r="H108" s="13" t="n"/>
      <c r="I108" s="12" t="n"/>
      <c r="J108" s="12" t="n"/>
      <c r="K108" s="14">
        <f>IF($H108="","",TODAY()-$H108)</f>
        <v/>
      </c>
      <c r="L108" s="13" t="n"/>
      <c r="M108" s="11" t="n"/>
      <c r="N108" s="13" t="n"/>
      <c r="O108" s="11" t="n"/>
      <c r="P108" s="11" t="n"/>
      <c r="Q108" s="11" t="n"/>
      <c r="R108" s="12" t="n"/>
      <c r="S108" s="11" t="n"/>
    </row>
    <row r="109" ht="15" customHeight="1" s="21">
      <c r="A109" s="11" t="n"/>
      <c r="B109" s="11" t="n"/>
      <c r="C109" s="11" t="n"/>
      <c r="D109" s="12" t="n"/>
      <c r="E109" s="11" t="n"/>
      <c r="F109" s="11" t="n"/>
      <c r="G109" s="11" t="n"/>
      <c r="H109" s="13" t="n"/>
      <c r="I109" s="12" t="n"/>
      <c r="J109" s="12" t="n"/>
      <c r="K109" s="14">
        <f>IF($H109="","",TODAY()-$H109)</f>
        <v/>
      </c>
      <c r="L109" s="13" t="n"/>
      <c r="M109" s="11" t="n"/>
      <c r="N109" s="13" t="n"/>
      <c r="O109" s="11" t="n"/>
      <c r="P109" s="11" t="n"/>
      <c r="Q109" s="11" t="n"/>
      <c r="R109" s="12" t="n"/>
      <c r="S109" s="11" t="n"/>
    </row>
    <row r="110" ht="15" customHeight="1" s="21">
      <c r="A110" s="11" t="n"/>
      <c r="B110" s="11" t="n"/>
      <c r="C110" s="11" t="n"/>
      <c r="D110" s="12" t="n"/>
      <c r="E110" s="11" t="n"/>
      <c r="F110" s="11" t="n"/>
      <c r="G110" s="11" t="n"/>
      <c r="H110" s="13" t="n"/>
      <c r="I110" s="12" t="n"/>
      <c r="J110" s="12" t="n"/>
      <c r="K110" s="14">
        <f>IF($H110="","",TODAY()-$H110)</f>
        <v/>
      </c>
      <c r="L110" s="13" t="n"/>
      <c r="M110" s="11" t="n"/>
      <c r="N110" s="13" t="n"/>
      <c r="O110" s="11" t="n"/>
      <c r="P110" s="11" t="n"/>
      <c r="Q110" s="11" t="n"/>
      <c r="R110" s="12" t="n"/>
      <c r="S110" s="11" t="n"/>
    </row>
    <row r="111" ht="15" customHeight="1" s="21">
      <c r="A111" s="11" t="n"/>
      <c r="B111" s="11" t="n"/>
      <c r="C111" s="11" t="n"/>
      <c r="D111" s="12" t="n"/>
      <c r="E111" s="11" t="n"/>
      <c r="F111" s="11" t="n"/>
      <c r="G111" s="11" t="n"/>
      <c r="H111" s="13" t="n"/>
      <c r="I111" s="12" t="n"/>
      <c r="J111" s="12" t="n"/>
      <c r="K111" s="14">
        <f>IF($H111="","",TODAY()-$H111)</f>
        <v/>
      </c>
      <c r="L111" s="13" t="n"/>
      <c r="M111" s="11" t="n"/>
      <c r="N111" s="13" t="n"/>
      <c r="O111" s="11" t="n"/>
      <c r="P111" s="11" t="n"/>
      <c r="Q111" s="11" t="n"/>
      <c r="R111" s="12" t="n"/>
      <c r="S111" s="11" t="n"/>
    </row>
    <row r="112" ht="15" customHeight="1" s="21">
      <c r="A112" s="11" t="n"/>
      <c r="B112" s="11" t="n"/>
      <c r="C112" s="11" t="n"/>
      <c r="D112" s="12" t="n"/>
      <c r="E112" s="11" t="n"/>
      <c r="F112" s="11" t="n"/>
      <c r="G112" s="11" t="n"/>
      <c r="H112" s="13" t="n"/>
      <c r="I112" s="12" t="n"/>
      <c r="J112" s="12" t="n"/>
      <c r="K112" s="14">
        <f>IF($H112="","",TODAY()-$H112)</f>
        <v/>
      </c>
      <c r="L112" s="13" t="n"/>
      <c r="M112" s="11" t="n"/>
      <c r="N112" s="13" t="n"/>
      <c r="O112" s="11" t="n"/>
      <c r="P112" s="11" t="n"/>
      <c r="Q112" s="11" t="n"/>
      <c r="R112" s="12" t="n"/>
      <c r="S112" s="11" t="n"/>
    </row>
    <row r="113" ht="15" customHeight="1" s="21">
      <c r="A113" s="11" t="n"/>
      <c r="B113" s="11" t="n"/>
      <c r="C113" s="11" t="n"/>
      <c r="D113" s="12" t="n"/>
      <c r="E113" s="11" t="n"/>
      <c r="F113" s="11" t="n"/>
      <c r="G113" s="11" t="n"/>
      <c r="H113" s="13" t="n"/>
      <c r="I113" s="12" t="n"/>
      <c r="J113" s="12" t="n"/>
      <c r="K113" s="14">
        <f>IF($H113="","",TODAY()-$H113)</f>
        <v/>
      </c>
      <c r="L113" s="13" t="n"/>
      <c r="M113" s="11" t="n"/>
      <c r="N113" s="13" t="n"/>
      <c r="O113" s="11" t="n"/>
      <c r="P113" s="11" t="n"/>
      <c r="Q113" s="11" t="n"/>
      <c r="R113" s="12" t="n"/>
      <c r="S113" s="11" t="n"/>
    </row>
    <row r="114" ht="15" customHeight="1" s="21">
      <c r="A114" s="11" t="n"/>
      <c r="B114" s="11" t="n"/>
      <c r="C114" s="11" t="n"/>
      <c r="D114" s="12" t="n"/>
      <c r="E114" s="11" t="n"/>
      <c r="F114" s="11" t="n"/>
      <c r="G114" s="11" t="n"/>
      <c r="H114" s="13" t="n"/>
      <c r="I114" s="12" t="n"/>
      <c r="J114" s="12" t="n"/>
      <c r="K114" s="14">
        <f>IF($H114="","",TODAY()-$H114)</f>
        <v/>
      </c>
      <c r="L114" s="13" t="n"/>
      <c r="M114" s="11" t="n"/>
      <c r="N114" s="13" t="n"/>
      <c r="O114" s="11" t="n"/>
      <c r="P114" s="11" t="n"/>
      <c r="Q114" s="11" t="n"/>
      <c r="R114" s="12" t="n"/>
      <c r="S114" s="11" t="n"/>
    </row>
    <row r="115" ht="15" customHeight="1" s="21">
      <c r="A115" s="11" t="n"/>
      <c r="B115" s="11" t="n"/>
      <c r="C115" s="11" t="n"/>
      <c r="D115" s="12" t="n"/>
      <c r="E115" s="11" t="n"/>
      <c r="F115" s="11" t="n"/>
      <c r="G115" s="11" t="n"/>
      <c r="H115" s="13" t="n"/>
      <c r="I115" s="12" t="n"/>
      <c r="J115" s="12" t="n"/>
      <c r="K115" s="14">
        <f>IF($H115="","",TODAY()-$H115)</f>
        <v/>
      </c>
      <c r="L115" s="13" t="n"/>
      <c r="M115" s="11" t="n"/>
      <c r="N115" s="13" t="n"/>
      <c r="O115" s="11" t="n"/>
      <c r="P115" s="11" t="n"/>
      <c r="Q115" s="11" t="n"/>
      <c r="R115" s="12" t="n"/>
      <c r="S115" s="11" t="n"/>
    </row>
    <row r="116" ht="15" customHeight="1" s="21">
      <c r="A116" s="11" t="n"/>
      <c r="B116" s="11" t="n"/>
      <c r="C116" s="11" t="n"/>
      <c r="D116" s="12" t="n"/>
      <c r="E116" s="11" t="n"/>
      <c r="F116" s="11" t="n"/>
      <c r="G116" s="11" t="n"/>
      <c r="H116" s="13" t="n"/>
      <c r="I116" s="12" t="n"/>
      <c r="J116" s="12" t="n"/>
      <c r="K116" s="14">
        <f>IF($H116="","",TODAY()-$H116)</f>
        <v/>
      </c>
      <c r="L116" s="13" t="n"/>
      <c r="M116" s="11" t="n"/>
      <c r="N116" s="13" t="n"/>
      <c r="O116" s="11" t="n"/>
      <c r="P116" s="11" t="n"/>
      <c r="Q116" s="11" t="n"/>
      <c r="R116" s="12" t="n"/>
      <c r="S116" s="11" t="n"/>
    </row>
    <row r="117" ht="15" customHeight="1" s="21">
      <c r="A117" s="11" t="n"/>
      <c r="B117" s="11" t="n"/>
      <c r="C117" s="11" t="n"/>
      <c r="D117" s="12" t="n"/>
      <c r="E117" s="11" t="n"/>
      <c r="F117" s="11" t="n"/>
      <c r="G117" s="11" t="n"/>
      <c r="H117" s="13" t="n"/>
      <c r="I117" s="12" t="n"/>
      <c r="J117" s="12" t="n"/>
      <c r="K117" s="14">
        <f>IF($H117="","",TODAY()-$H117)</f>
        <v/>
      </c>
      <c r="L117" s="13" t="n"/>
      <c r="M117" s="11" t="n"/>
      <c r="N117" s="13" t="n"/>
      <c r="O117" s="11" t="n"/>
      <c r="P117" s="11" t="n"/>
      <c r="Q117" s="11" t="n"/>
      <c r="R117" s="12" t="n"/>
      <c r="S117" s="11" t="n"/>
    </row>
    <row r="118" ht="15" customHeight="1" s="21">
      <c r="A118" s="11" t="n"/>
      <c r="B118" s="11" t="n"/>
      <c r="C118" s="11" t="n"/>
      <c r="D118" s="12" t="n"/>
      <c r="E118" s="11" t="n"/>
      <c r="F118" s="11" t="n"/>
      <c r="G118" s="11" t="n"/>
      <c r="H118" s="13" t="n"/>
      <c r="I118" s="12" t="n"/>
      <c r="J118" s="12" t="n"/>
      <c r="K118" s="14">
        <f>IF($H118="","",TODAY()-$H118)</f>
        <v/>
      </c>
      <c r="L118" s="13" t="n"/>
      <c r="M118" s="11" t="n"/>
      <c r="N118" s="13" t="n"/>
      <c r="O118" s="11" t="n"/>
      <c r="P118" s="11" t="n"/>
      <c r="Q118" s="11" t="n"/>
      <c r="R118" s="12" t="n"/>
      <c r="S118" s="11" t="n"/>
    </row>
    <row r="119" ht="15" customHeight="1" s="21">
      <c r="A119" s="11" t="n"/>
      <c r="B119" s="11" t="n"/>
      <c r="C119" s="11" t="n"/>
      <c r="D119" s="12" t="n"/>
      <c r="E119" s="11" t="n"/>
      <c r="F119" s="11" t="n"/>
      <c r="G119" s="11" t="n"/>
      <c r="H119" s="13" t="n"/>
      <c r="I119" s="12" t="n"/>
      <c r="J119" s="12" t="n"/>
      <c r="K119" s="14">
        <f>IF($H119="","",TODAY()-$H119)</f>
        <v/>
      </c>
      <c r="L119" s="13" t="n"/>
      <c r="M119" s="11" t="n"/>
      <c r="N119" s="13" t="n"/>
      <c r="O119" s="11" t="n"/>
      <c r="P119" s="11" t="n"/>
      <c r="Q119" s="11" t="n"/>
      <c r="R119" s="12" t="n"/>
      <c r="S119" s="11" t="n"/>
    </row>
    <row r="120" ht="15" customHeight="1" s="21">
      <c r="A120" s="11" t="n"/>
      <c r="B120" s="11" t="n"/>
      <c r="C120" s="11" t="n"/>
      <c r="D120" s="12" t="n"/>
      <c r="E120" s="11" t="n"/>
      <c r="F120" s="11" t="n"/>
      <c r="G120" s="11" t="n"/>
      <c r="H120" s="13" t="n"/>
      <c r="I120" s="12" t="n"/>
      <c r="J120" s="12" t="n"/>
      <c r="K120" s="14">
        <f>IF($H120="","",TODAY()-$H120)</f>
        <v/>
      </c>
      <c r="L120" s="13" t="n"/>
      <c r="M120" s="11" t="n"/>
      <c r="N120" s="13" t="n"/>
      <c r="O120" s="11" t="n"/>
      <c r="P120" s="11" t="n"/>
      <c r="Q120" s="11" t="n"/>
      <c r="R120" s="12" t="n"/>
      <c r="S120" s="11" t="n"/>
    </row>
    <row r="121" ht="15" customHeight="1" s="21">
      <c r="A121" s="11" t="n"/>
      <c r="B121" s="11" t="n"/>
      <c r="C121" s="11" t="n"/>
      <c r="D121" s="12" t="n"/>
      <c r="E121" s="11" t="n"/>
      <c r="F121" s="11" t="n"/>
      <c r="G121" s="11" t="n"/>
      <c r="H121" s="13" t="n"/>
      <c r="I121" s="12" t="n"/>
      <c r="J121" s="12" t="n"/>
      <c r="K121" s="14">
        <f>IF($H121="","",TODAY()-$H121)</f>
        <v/>
      </c>
      <c r="L121" s="13" t="n"/>
      <c r="M121" s="11" t="n"/>
      <c r="N121" s="13" t="n"/>
      <c r="O121" s="11" t="n"/>
      <c r="P121" s="11" t="n"/>
      <c r="Q121" s="11" t="n"/>
      <c r="R121" s="12" t="n"/>
      <c r="S121" s="11" t="n"/>
    </row>
    <row r="122" ht="15" customHeight="1" s="21">
      <c r="A122" s="11" t="n"/>
      <c r="B122" s="11" t="n"/>
      <c r="C122" s="11" t="n"/>
      <c r="D122" s="12" t="n"/>
      <c r="E122" s="11" t="n"/>
      <c r="F122" s="11" t="n"/>
      <c r="G122" s="11" t="n"/>
      <c r="H122" s="13" t="n"/>
      <c r="I122" s="12" t="n"/>
      <c r="J122" s="12" t="n"/>
      <c r="K122" s="14">
        <f>IF($H122="","",TODAY()-$H122)</f>
        <v/>
      </c>
      <c r="L122" s="13" t="n"/>
      <c r="M122" s="11" t="n"/>
      <c r="N122" s="13" t="n"/>
      <c r="O122" s="11" t="n"/>
      <c r="P122" s="11" t="n"/>
      <c r="Q122" s="11" t="n"/>
      <c r="R122" s="12" t="n"/>
      <c r="S122" s="11" t="n"/>
    </row>
    <row r="123" ht="15" customHeight="1" s="21">
      <c r="A123" s="11" t="n"/>
      <c r="B123" s="11" t="n"/>
      <c r="C123" s="11" t="n"/>
      <c r="D123" s="12" t="n"/>
      <c r="E123" s="11" t="n"/>
      <c r="F123" s="11" t="n"/>
      <c r="G123" s="11" t="n"/>
      <c r="H123" s="13" t="n"/>
      <c r="I123" s="12" t="n"/>
      <c r="J123" s="12" t="n"/>
      <c r="K123" s="14">
        <f>IF($H123="","",TODAY()-$H123)</f>
        <v/>
      </c>
      <c r="L123" s="13" t="n"/>
      <c r="M123" s="11" t="n"/>
      <c r="N123" s="13" t="n"/>
      <c r="O123" s="11" t="n"/>
      <c r="P123" s="11" t="n"/>
      <c r="Q123" s="11" t="n"/>
      <c r="R123" s="12" t="n"/>
      <c r="S123" s="11" t="n"/>
    </row>
    <row r="124" ht="15" customHeight="1" s="21">
      <c r="A124" s="11" t="n"/>
      <c r="B124" s="11" t="n"/>
      <c r="C124" s="11" t="n"/>
      <c r="D124" s="12" t="n"/>
      <c r="E124" s="11" t="n"/>
      <c r="F124" s="11" t="n"/>
      <c r="G124" s="11" t="n"/>
      <c r="H124" s="13" t="n"/>
      <c r="I124" s="12" t="n"/>
      <c r="J124" s="12" t="n"/>
      <c r="K124" s="14">
        <f>IF($H124="","",TODAY()-$H124)</f>
        <v/>
      </c>
      <c r="L124" s="13" t="n"/>
      <c r="M124" s="11" t="n"/>
      <c r="N124" s="13" t="n"/>
      <c r="O124" s="11" t="n"/>
      <c r="P124" s="11" t="n"/>
      <c r="Q124" s="11" t="n"/>
      <c r="R124" s="12" t="n"/>
      <c r="S124" s="11" t="n"/>
    </row>
    <row r="125" ht="15" customHeight="1" s="21">
      <c r="A125" s="11" t="n"/>
      <c r="B125" s="11" t="n"/>
      <c r="C125" s="11" t="n"/>
      <c r="D125" s="12" t="n"/>
      <c r="E125" s="11" t="n"/>
      <c r="F125" s="11" t="n"/>
      <c r="G125" s="11" t="n"/>
      <c r="H125" s="13" t="n"/>
      <c r="I125" s="12" t="n"/>
      <c r="J125" s="12" t="n"/>
      <c r="K125" s="14">
        <f>IF($H125="","",TODAY()-$H125)</f>
        <v/>
      </c>
      <c r="L125" s="13" t="n"/>
      <c r="M125" s="11" t="n"/>
      <c r="N125" s="13" t="n"/>
      <c r="O125" s="11" t="n"/>
      <c r="P125" s="11" t="n"/>
      <c r="Q125" s="11" t="n"/>
      <c r="R125" s="12" t="n"/>
      <c r="S125" s="11" t="n"/>
    </row>
    <row r="126" ht="15" customHeight="1" s="21">
      <c r="A126" s="11" t="n"/>
      <c r="B126" s="11" t="n"/>
      <c r="C126" s="11" t="n"/>
      <c r="D126" s="12" t="n"/>
      <c r="E126" s="11" t="n"/>
      <c r="F126" s="11" t="n"/>
      <c r="G126" s="11" t="n"/>
      <c r="H126" s="13" t="n"/>
      <c r="I126" s="12" t="n"/>
      <c r="J126" s="12" t="n"/>
      <c r="K126" s="14">
        <f>IF($H126="","",TODAY()-$H126)</f>
        <v/>
      </c>
      <c r="L126" s="13" t="n"/>
      <c r="M126" s="11" t="n"/>
      <c r="N126" s="13" t="n"/>
      <c r="O126" s="11" t="n"/>
      <c r="P126" s="11" t="n"/>
      <c r="Q126" s="11" t="n"/>
      <c r="R126" s="12" t="n"/>
      <c r="S126" s="11" t="n"/>
    </row>
    <row r="127" ht="15" customHeight="1" s="21">
      <c r="A127" s="11" t="n"/>
      <c r="B127" s="11" t="n"/>
      <c r="C127" s="11" t="n"/>
      <c r="D127" s="12" t="n"/>
      <c r="E127" s="11" t="n"/>
      <c r="F127" s="11" t="n"/>
      <c r="G127" s="11" t="n"/>
      <c r="H127" s="13" t="n"/>
      <c r="I127" s="12" t="n"/>
      <c r="J127" s="12" t="n"/>
      <c r="K127" s="14">
        <f>IF($H127="","",TODAY()-$H127)</f>
        <v/>
      </c>
      <c r="L127" s="13" t="n"/>
      <c r="M127" s="11" t="n"/>
      <c r="N127" s="13" t="n"/>
      <c r="O127" s="11" t="n"/>
      <c r="P127" s="11" t="n"/>
      <c r="Q127" s="11" t="n"/>
      <c r="R127" s="12" t="n"/>
      <c r="S127" s="11" t="n"/>
    </row>
    <row r="128" ht="15" customHeight="1" s="21">
      <c r="A128" s="11" t="n"/>
      <c r="B128" s="11" t="n"/>
      <c r="C128" s="11" t="n"/>
      <c r="D128" s="12" t="n"/>
      <c r="E128" s="11" t="n"/>
      <c r="F128" s="11" t="n"/>
      <c r="G128" s="11" t="n"/>
      <c r="H128" s="13" t="n"/>
      <c r="I128" s="12" t="n"/>
      <c r="J128" s="12" t="n"/>
      <c r="K128" s="14">
        <f>IF($H128="","",TODAY()-$H128)</f>
        <v/>
      </c>
      <c r="L128" s="13" t="n"/>
      <c r="M128" s="11" t="n"/>
      <c r="N128" s="13" t="n"/>
      <c r="O128" s="11" t="n"/>
      <c r="P128" s="11" t="n"/>
      <c r="Q128" s="11" t="n"/>
      <c r="R128" s="12" t="n"/>
      <c r="S128" s="11" t="n"/>
    </row>
    <row r="129" ht="15" customHeight="1" s="21">
      <c r="A129" s="11" t="n"/>
      <c r="B129" s="11" t="n"/>
      <c r="C129" s="11" t="n"/>
      <c r="D129" s="12" t="n"/>
      <c r="E129" s="11" t="n"/>
      <c r="F129" s="11" t="n"/>
      <c r="G129" s="11" t="n"/>
      <c r="H129" s="13" t="n"/>
      <c r="I129" s="12" t="n"/>
      <c r="J129" s="12" t="n"/>
      <c r="K129" s="14">
        <f>IF($H129="","",TODAY()-$H129)</f>
        <v/>
      </c>
      <c r="L129" s="13" t="n"/>
      <c r="M129" s="11" t="n"/>
      <c r="N129" s="13" t="n"/>
      <c r="O129" s="11" t="n"/>
      <c r="P129" s="11" t="n"/>
      <c r="Q129" s="11" t="n"/>
      <c r="R129" s="12" t="n"/>
      <c r="S129" s="11" t="n"/>
    </row>
    <row r="130" ht="15" customHeight="1" s="21">
      <c r="A130" s="11" t="n"/>
      <c r="B130" s="11" t="n"/>
      <c r="C130" s="11" t="n"/>
      <c r="D130" s="12" t="n"/>
      <c r="E130" s="11" t="n"/>
      <c r="F130" s="11" t="n"/>
      <c r="G130" s="11" t="n"/>
      <c r="H130" s="13" t="n"/>
      <c r="I130" s="12" t="n"/>
      <c r="J130" s="12" t="n"/>
      <c r="K130" s="14">
        <f>IF($H130="","",TODAY()-$H130)</f>
        <v/>
      </c>
      <c r="L130" s="13" t="n"/>
      <c r="M130" s="11" t="n"/>
      <c r="N130" s="13" t="n"/>
      <c r="O130" s="11" t="n"/>
      <c r="P130" s="11" t="n"/>
      <c r="Q130" s="11" t="n"/>
      <c r="R130" s="12" t="n"/>
      <c r="S130" s="11" t="n"/>
    </row>
    <row r="131" ht="15" customHeight="1" s="21">
      <c r="A131" s="11" t="n"/>
      <c r="B131" s="11" t="n"/>
      <c r="C131" s="11" t="n"/>
      <c r="D131" s="12" t="n"/>
      <c r="E131" s="11" t="n"/>
      <c r="F131" s="11" t="n"/>
      <c r="G131" s="11" t="n"/>
      <c r="H131" s="13" t="n"/>
      <c r="I131" s="12" t="n"/>
      <c r="J131" s="12" t="n"/>
      <c r="K131" s="14">
        <f>IF($H131="","",TODAY()-$H131)</f>
        <v/>
      </c>
      <c r="L131" s="13" t="n"/>
      <c r="M131" s="11" t="n"/>
      <c r="N131" s="13" t="n"/>
      <c r="O131" s="11" t="n"/>
      <c r="P131" s="11" t="n"/>
      <c r="Q131" s="11" t="n"/>
      <c r="R131" s="12" t="n"/>
      <c r="S131" s="11" t="n"/>
    </row>
    <row r="132" ht="15" customHeight="1" s="21">
      <c r="A132" s="11" t="n"/>
      <c r="B132" s="11" t="n"/>
      <c r="C132" s="11" t="n"/>
      <c r="D132" s="12" t="n"/>
      <c r="E132" s="11" t="n"/>
      <c r="F132" s="11" t="n"/>
      <c r="G132" s="11" t="n"/>
      <c r="H132" s="13" t="n"/>
      <c r="I132" s="12" t="n"/>
      <c r="J132" s="12" t="n"/>
      <c r="K132" s="14">
        <f>IF($H132="","",TODAY()-$H132)</f>
        <v/>
      </c>
      <c r="L132" s="13" t="n"/>
      <c r="M132" s="11" t="n"/>
      <c r="N132" s="13" t="n"/>
      <c r="O132" s="11" t="n"/>
      <c r="P132" s="11" t="n"/>
      <c r="Q132" s="11" t="n"/>
      <c r="R132" s="12" t="n"/>
      <c r="S132" s="11" t="n"/>
    </row>
    <row r="133" ht="15" customHeight="1" s="21">
      <c r="A133" s="11" t="n"/>
      <c r="B133" s="11" t="n"/>
      <c r="C133" s="11" t="n"/>
      <c r="D133" s="12" t="n"/>
      <c r="E133" s="11" t="n"/>
      <c r="F133" s="11" t="n"/>
      <c r="G133" s="11" t="n"/>
      <c r="H133" s="13" t="n"/>
      <c r="I133" s="12" t="n"/>
      <c r="J133" s="12" t="n"/>
      <c r="K133" s="14">
        <f>IF($H133="","",TODAY()-$H133)</f>
        <v/>
      </c>
      <c r="L133" s="13" t="n"/>
      <c r="M133" s="11" t="n"/>
      <c r="N133" s="13" t="n"/>
      <c r="O133" s="11" t="n"/>
      <c r="P133" s="11" t="n"/>
      <c r="Q133" s="11" t="n"/>
      <c r="R133" s="12" t="n"/>
      <c r="S133" s="11" t="n"/>
    </row>
    <row r="134" ht="15" customHeight="1" s="21">
      <c r="A134" s="11" t="n"/>
      <c r="B134" s="11" t="n"/>
      <c r="C134" s="11" t="n"/>
      <c r="D134" s="12" t="n"/>
      <c r="E134" s="11" t="n"/>
      <c r="F134" s="11" t="n"/>
      <c r="G134" s="11" t="n"/>
      <c r="H134" s="13" t="n"/>
      <c r="I134" s="12" t="n"/>
      <c r="J134" s="12" t="n"/>
      <c r="K134" s="14">
        <f>IF($H134="","",TODAY()-$H134)</f>
        <v/>
      </c>
      <c r="L134" s="13" t="n"/>
      <c r="M134" s="11" t="n"/>
      <c r="N134" s="13" t="n"/>
      <c r="O134" s="11" t="n"/>
      <c r="P134" s="11" t="n"/>
      <c r="Q134" s="11" t="n"/>
      <c r="R134" s="12" t="n"/>
      <c r="S134" s="11" t="n"/>
    </row>
    <row r="135" ht="15" customHeight="1" s="21">
      <c r="A135" s="11" t="n"/>
      <c r="B135" s="11" t="n"/>
      <c r="C135" s="11" t="n"/>
      <c r="D135" s="12" t="n"/>
      <c r="E135" s="11" t="n"/>
      <c r="F135" s="11" t="n"/>
      <c r="G135" s="11" t="n"/>
      <c r="H135" s="13" t="n"/>
      <c r="I135" s="12" t="n"/>
      <c r="J135" s="12" t="n"/>
      <c r="K135" s="14">
        <f>IF($H135="","",TODAY()-$H135)</f>
        <v/>
      </c>
      <c r="L135" s="13" t="n"/>
      <c r="M135" s="11" t="n"/>
      <c r="N135" s="13" t="n"/>
      <c r="O135" s="11" t="n"/>
      <c r="P135" s="11" t="n"/>
      <c r="Q135" s="11" t="n"/>
      <c r="R135" s="12" t="n"/>
      <c r="S135" s="11" t="n"/>
    </row>
    <row r="136" ht="15" customHeight="1" s="21">
      <c r="A136" s="11" t="n"/>
      <c r="B136" s="11" t="n"/>
      <c r="C136" s="11" t="n"/>
      <c r="D136" s="12" t="n"/>
      <c r="E136" s="11" t="n"/>
      <c r="F136" s="11" t="n"/>
      <c r="G136" s="11" t="n"/>
      <c r="H136" s="13" t="n"/>
      <c r="I136" s="12" t="n"/>
      <c r="J136" s="12" t="n"/>
      <c r="K136" s="14">
        <f>IF($H136="","",TODAY()-$H136)</f>
        <v/>
      </c>
      <c r="L136" s="13" t="n"/>
      <c r="M136" s="11" t="n"/>
      <c r="N136" s="13" t="n"/>
      <c r="O136" s="11" t="n"/>
      <c r="P136" s="11" t="n"/>
      <c r="Q136" s="11" t="n"/>
      <c r="R136" s="12" t="n"/>
      <c r="S136" s="11" t="n"/>
    </row>
    <row r="137" ht="15" customHeight="1" s="21">
      <c r="A137" s="11" t="n"/>
      <c r="B137" s="11" t="n"/>
      <c r="C137" s="11" t="n"/>
      <c r="D137" s="12" t="n"/>
      <c r="E137" s="11" t="n"/>
      <c r="F137" s="11" t="n"/>
      <c r="G137" s="11" t="n"/>
      <c r="H137" s="13" t="n"/>
      <c r="I137" s="12" t="n"/>
      <c r="J137" s="12" t="n"/>
      <c r="K137" s="14">
        <f>IF($H137="","",TODAY()-$H137)</f>
        <v/>
      </c>
      <c r="L137" s="13" t="n"/>
      <c r="M137" s="11" t="n"/>
      <c r="N137" s="13" t="n"/>
      <c r="O137" s="11" t="n"/>
      <c r="P137" s="11" t="n"/>
      <c r="Q137" s="11" t="n"/>
      <c r="R137" s="12" t="n"/>
      <c r="S137" s="11" t="n"/>
    </row>
    <row r="138" ht="15" customHeight="1" s="21">
      <c r="A138" s="11" t="n"/>
      <c r="B138" s="11" t="n"/>
      <c r="C138" s="11" t="n"/>
      <c r="D138" s="12" t="n"/>
      <c r="E138" s="11" t="n"/>
      <c r="F138" s="11" t="n"/>
      <c r="G138" s="11" t="n"/>
      <c r="H138" s="13" t="n"/>
      <c r="I138" s="12" t="n"/>
      <c r="J138" s="12" t="n"/>
      <c r="K138" s="14">
        <f>IF($H138="","",TODAY()-$H138)</f>
        <v/>
      </c>
      <c r="L138" s="13" t="n"/>
      <c r="M138" s="11" t="n"/>
      <c r="N138" s="13" t="n"/>
      <c r="O138" s="11" t="n"/>
      <c r="P138" s="11" t="n"/>
      <c r="Q138" s="11" t="n"/>
      <c r="R138" s="12" t="n"/>
      <c r="S138" s="11" t="n"/>
    </row>
    <row r="139" ht="15" customHeight="1" s="21">
      <c r="A139" s="11" t="n"/>
      <c r="B139" s="11" t="n"/>
      <c r="C139" s="11" t="n"/>
      <c r="D139" s="12" t="n"/>
      <c r="E139" s="11" t="n"/>
      <c r="F139" s="11" t="n"/>
      <c r="G139" s="11" t="n"/>
      <c r="H139" s="13" t="n"/>
      <c r="I139" s="12" t="n"/>
      <c r="J139" s="12" t="n"/>
      <c r="K139" s="14">
        <f>IF($H139="","",TODAY()-$H139)</f>
        <v/>
      </c>
      <c r="L139" s="13" t="n"/>
      <c r="M139" s="11" t="n"/>
      <c r="N139" s="13" t="n"/>
      <c r="O139" s="11" t="n"/>
      <c r="P139" s="11" t="n"/>
      <c r="Q139" s="11" t="n"/>
      <c r="R139" s="12" t="n"/>
      <c r="S139" s="11" t="n"/>
    </row>
    <row r="140" ht="15" customHeight="1" s="21">
      <c r="A140" s="11" t="n"/>
      <c r="B140" s="11" t="n"/>
      <c r="C140" s="11" t="n"/>
      <c r="D140" s="12" t="n"/>
      <c r="E140" s="11" t="n"/>
      <c r="F140" s="11" t="n"/>
      <c r="G140" s="11" t="n"/>
      <c r="H140" s="13" t="n"/>
      <c r="I140" s="12" t="n"/>
      <c r="J140" s="12" t="n"/>
      <c r="K140" s="14">
        <f>IF($H140="","",TODAY()-$H140)</f>
        <v/>
      </c>
      <c r="L140" s="13" t="n"/>
      <c r="M140" s="11" t="n"/>
      <c r="N140" s="13" t="n"/>
      <c r="O140" s="11" t="n"/>
      <c r="P140" s="11" t="n"/>
      <c r="Q140" s="11" t="n"/>
      <c r="R140" s="12" t="n"/>
      <c r="S140" s="11" t="n"/>
    </row>
    <row r="141" ht="15" customHeight="1" s="21">
      <c r="A141" s="11" t="n"/>
      <c r="B141" s="11" t="n"/>
      <c r="C141" s="11" t="n"/>
      <c r="D141" s="12" t="n"/>
      <c r="E141" s="11" t="n"/>
      <c r="F141" s="11" t="n"/>
      <c r="G141" s="11" t="n"/>
      <c r="H141" s="13" t="n"/>
      <c r="I141" s="12" t="n"/>
      <c r="J141" s="12" t="n"/>
      <c r="K141" s="14">
        <f>IF($H141="","",TODAY()-$H141)</f>
        <v/>
      </c>
      <c r="L141" s="13" t="n"/>
      <c r="M141" s="11" t="n"/>
      <c r="N141" s="13" t="n"/>
      <c r="O141" s="11" t="n"/>
      <c r="P141" s="11" t="n"/>
      <c r="Q141" s="11" t="n"/>
      <c r="R141" s="12" t="n"/>
      <c r="S141" s="11" t="n"/>
    </row>
    <row r="142" ht="15" customHeight="1" s="21">
      <c r="A142" s="11" t="n"/>
      <c r="B142" s="11" t="n"/>
      <c r="C142" s="11" t="n"/>
      <c r="D142" s="12" t="n"/>
      <c r="E142" s="11" t="n"/>
      <c r="F142" s="11" t="n"/>
      <c r="G142" s="11" t="n"/>
      <c r="H142" s="13" t="n"/>
      <c r="I142" s="12" t="n"/>
      <c r="J142" s="12" t="n"/>
      <c r="K142" s="14">
        <f>IF($H142="","",TODAY()-$H142)</f>
        <v/>
      </c>
      <c r="L142" s="13" t="n"/>
      <c r="M142" s="11" t="n"/>
      <c r="N142" s="13" t="n"/>
      <c r="O142" s="11" t="n"/>
      <c r="P142" s="11" t="n"/>
      <c r="Q142" s="11" t="n"/>
      <c r="R142" s="12" t="n"/>
      <c r="S142" s="11" t="n"/>
    </row>
    <row r="143" ht="15" customHeight="1" s="21">
      <c r="A143" s="11" t="n"/>
      <c r="B143" s="11" t="n"/>
      <c r="C143" s="11" t="n"/>
      <c r="D143" s="12" t="n"/>
      <c r="E143" s="11" t="n"/>
      <c r="F143" s="11" t="n"/>
      <c r="G143" s="11" t="n"/>
      <c r="H143" s="13" t="n"/>
      <c r="I143" s="12" t="n"/>
      <c r="J143" s="12" t="n"/>
      <c r="K143" s="14">
        <f>IF($H143="","",TODAY()-$H143)</f>
        <v/>
      </c>
      <c r="L143" s="13" t="n"/>
      <c r="M143" s="11" t="n"/>
      <c r="N143" s="13" t="n"/>
      <c r="O143" s="11" t="n"/>
      <c r="P143" s="11" t="n"/>
      <c r="Q143" s="11" t="n"/>
      <c r="R143" s="12" t="n"/>
      <c r="S143" s="11" t="n"/>
    </row>
    <row r="144" ht="15" customHeight="1" s="21">
      <c r="A144" s="11" t="n"/>
      <c r="B144" s="11" t="n"/>
      <c r="C144" s="11" t="n"/>
      <c r="D144" s="12" t="n"/>
      <c r="E144" s="11" t="n"/>
      <c r="F144" s="11" t="n"/>
      <c r="G144" s="11" t="n"/>
      <c r="H144" s="13" t="n"/>
      <c r="I144" s="12" t="n"/>
      <c r="J144" s="12" t="n"/>
      <c r="K144" s="14">
        <f>IF($H144="","",TODAY()-$H144)</f>
        <v/>
      </c>
      <c r="L144" s="13" t="n"/>
      <c r="M144" s="11" t="n"/>
      <c r="N144" s="13" t="n"/>
      <c r="O144" s="11" t="n"/>
      <c r="P144" s="11" t="n"/>
      <c r="Q144" s="11" t="n"/>
      <c r="R144" s="12" t="n"/>
      <c r="S144" s="11" t="n"/>
    </row>
    <row r="145" ht="15" customHeight="1" s="21">
      <c r="A145" s="11" t="n"/>
      <c r="B145" s="11" t="n"/>
      <c r="C145" s="11" t="n"/>
      <c r="D145" s="12" t="n"/>
      <c r="E145" s="11" t="n"/>
      <c r="F145" s="11" t="n"/>
      <c r="G145" s="11" t="n"/>
      <c r="H145" s="13" t="n"/>
      <c r="I145" s="12" t="n"/>
      <c r="J145" s="12" t="n"/>
      <c r="K145" s="14">
        <f>IF($H145="","",TODAY()-$H145)</f>
        <v/>
      </c>
      <c r="L145" s="13" t="n"/>
      <c r="M145" s="11" t="n"/>
      <c r="N145" s="13" t="n"/>
      <c r="O145" s="11" t="n"/>
      <c r="P145" s="11" t="n"/>
      <c r="Q145" s="11" t="n"/>
      <c r="R145" s="12" t="n"/>
      <c r="S145" s="11" t="n"/>
    </row>
    <row r="146" ht="15" customHeight="1" s="21">
      <c r="A146" s="11" t="n"/>
      <c r="B146" s="11" t="n"/>
      <c r="C146" s="11" t="n"/>
      <c r="D146" s="12" t="n"/>
      <c r="E146" s="11" t="n"/>
      <c r="F146" s="11" t="n"/>
      <c r="G146" s="11" t="n"/>
      <c r="H146" s="13" t="n"/>
      <c r="I146" s="12" t="n"/>
      <c r="J146" s="12" t="n"/>
      <c r="K146" s="14">
        <f>IF($H146="","",TODAY()-$H146)</f>
        <v/>
      </c>
      <c r="L146" s="13" t="n"/>
      <c r="M146" s="11" t="n"/>
      <c r="N146" s="13" t="n"/>
      <c r="O146" s="11" t="n"/>
      <c r="P146" s="11" t="n"/>
      <c r="Q146" s="11" t="n"/>
      <c r="R146" s="12" t="n"/>
      <c r="S146" s="11" t="n"/>
    </row>
    <row r="147" ht="15" customHeight="1" s="21">
      <c r="A147" s="11" t="n"/>
      <c r="B147" s="11" t="n"/>
      <c r="C147" s="11" t="n"/>
      <c r="D147" s="12" t="n"/>
      <c r="E147" s="11" t="n"/>
      <c r="F147" s="11" t="n"/>
      <c r="G147" s="11" t="n"/>
      <c r="H147" s="13" t="n"/>
      <c r="I147" s="12" t="n"/>
      <c r="J147" s="12" t="n"/>
      <c r="K147" s="14">
        <f>IF($H147="","",TODAY()-$H147)</f>
        <v/>
      </c>
      <c r="L147" s="13" t="n"/>
      <c r="M147" s="11" t="n"/>
      <c r="N147" s="13" t="n"/>
      <c r="O147" s="11" t="n"/>
      <c r="P147" s="11" t="n"/>
      <c r="Q147" s="11" t="n"/>
      <c r="R147" s="12" t="n"/>
      <c r="S147" s="11" t="n"/>
    </row>
    <row r="148" ht="15" customHeight="1" s="21">
      <c r="A148" s="11" t="n"/>
      <c r="B148" s="11" t="n"/>
      <c r="C148" s="11" t="n"/>
      <c r="D148" s="12" t="n"/>
      <c r="E148" s="11" t="n"/>
      <c r="F148" s="11" t="n"/>
      <c r="G148" s="11" t="n"/>
      <c r="H148" s="13" t="n"/>
      <c r="I148" s="12" t="n"/>
      <c r="J148" s="12" t="n"/>
      <c r="K148" s="14">
        <f>IF($H148="","",TODAY()-$H148)</f>
        <v/>
      </c>
      <c r="L148" s="13" t="n"/>
      <c r="M148" s="11" t="n"/>
      <c r="N148" s="13" t="n"/>
      <c r="O148" s="11" t="n"/>
      <c r="P148" s="11" t="n"/>
      <c r="Q148" s="11" t="n"/>
      <c r="R148" s="12" t="n"/>
      <c r="S148" s="11" t="n"/>
    </row>
    <row r="149" ht="15" customHeight="1" s="21">
      <c r="A149" s="11" t="n"/>
      <c r="B149" s="11" t="n"/>
      <c r="C149" s="11" t="n"/>
      <c r="D149" s="12" t="n"/>
      <c r="E149" s="11" t="n"/>
      <c r="F149" s="11" t="n"/>
      <c r="G149" s="11" t="n"/>
      <c r="H149" s="13" t="n"/>
      <c r="I149" s="12" t="n"/>
      <c r="J149" s="12" t="n"/>
      <c r="K149" s="14">
        <f>IF($H149="","",TODAY()-$H149)</f>
        <v/>
      </c>
      <c r="L149" s="13" t="n"/>
      <c r="M149" s="11" t="n"/>
      <c r="N149" s="13" t="n"/>
      <c r="O149" s="11" t="n"/>
      <c r="P149" s="11" t="n"/>
      <c r="Q149" s="11" t="n"/>
      <c r="R149" s="12" t="n"/>
      <c r="S149" s="11" t="n"/>
    </row>
    <row r="150" ht="15" customHeight="1" s="21">
      <c r="A150" s="11" t="n"/>
      <c r="B150" s="11" t="n"/>
      <c r="C150" s="11" t="n"/>
      <c r="D150" s="12" t="n"/>
      <c r="E150" s="11" t="n"/>
      <c r="F150" s="11" t="n"/>
      <c r="G150" s="11" t="n"/>
      <c r="H150" s="13" t="n"/>
      <c r="I150" s="12" t="n"/>
      <c r="J150" s="12" t="n"/>
      <c r="K150" s="14">
        <f>IF($H150="","",TODAY()-$H150)</f>
        <v/>
      </c>
      <c r="L150" s="13" t="n"/>
      <c r="M150" s="11" t="n"/>
      <c r="N150" s="13" t="n"/>
      <c r="O150" s="11" t="n"/>
      <c r="P150" s="11" t="n"/>
      <c r="Q150" s="11" t="n"/>
      <c r="R150" s="12" t="n"/>
      <c r="S150" s="11" t="n"/>
    </row>
    <row r="151" ht="15" customHeight="1" s="21">
      <c r="A151" s="11" t="n"/>
      <c r="B151" s="11" t="n"/>
      <c r="C151" s="11" t="n"/>
      <c r="D151" s="12" t="n"/>
      <c r="E151" s="11" t="n"/>
      <c r="F151" s="11" t="n"/>
      <c r="G151" s="11" t="n"/>
      <c r="H151" s="13" t="n"/>
      <c r="I151" s="12" t="n"/>
      <c r="J151" s="12" t="n"/>
      <c r="K151" s="14">
        <f>IF($H151="","",TODAY()-$H151)</f>
        <v/>
      </c>
      <c r="L151" s="13" t="n"/>
      <c r="M151" s="11" t="n"/>
      <c r="N151" s="13" t="n"/>
      <c r="O151" s="11" t="n"/>
      <c r="P151" s="11" t="n"/>
      <c r="Q151" s="11" t="n"/>
      <c r="R151" s="12" t="n"/>
      <c r="S151" s="11" t="n"/>
    </row>
    <row r="152" ht="15" customHeight="1" s="21">
      <c r="A152" s="11" t="n"/>
      <c r="B152" s="11" t="n"/>
      <c r="C152" s="11" t="n"/>
      <c r="D152" s="12" t="n"/>
      <c r="E152" s="11" t="n"/>
      <c r="F152" s="11" t="n"/>
      <c r="G152" s="11" t="n"/>
      <c r="H152" s="13" t="n"/>
      <c r="I152" s="12" t="n"/>
      <c r="J152" s="12" t="n"/>
      <c r="K152" s="14">
        <f>IF($H152="","",TODAY()-$H152)</f>
        <v/>
      </c>
      <c r="L152" s="13" t="n"/>
      <c r="M152" s="11" t="n"/>
      <c r="N152" s="13" t="n"/>
      <c r="O152" s="11" t="n"/>
      <c r="P152" s="11" t="n"/>
      <c r="Q152" s="11" t="n"/>
      <c r="R152" s="12" t="n"/>
      <c r="S152" s="11" t="n"/>
    </row>
    <row r="153" ht="15" customHeight="1" s="21">
      <c r="A153" s="11" t="n"/>
      <c r="B153" s="11" t="n"/>
      <c r="C153" s="11" t="n"/>
      <c r="D153" s="12" t="n"/>
      <c r="E153" s="11" t="n"/>
      <c r="F153" s="11" t="n"/>
      <c r="G153" s="11" t="n"/>
      <c r="H153" s="13" t="n"/>
      <c r="I153" s="12" t="n"/>
      <c r="J153" s="12" t="n"/>
      <c r="K153" s="14">
        <f>IF($H153="","",TODAY()-$H153)</f>
        <v/>
      </c>
      <c r="L153" s="13" t="n"/>
      <c r="M153" s="11" t="n"/>
      <c r="N153" s="13" t="n"/>
      <c r="O153" s="11" t="n"/>
      <c r="P153" s="11" t="n"/>
      <c r="Q153" s="11" t="n"/>
      <c r="R153" s="12" t="n"/>
      <c r="S153" s="11" t="n"/>
    </row>
    <row r="154" ht="15" customHeight="1" s="21">
      <c r="A154" s="11" t="n"/>
      <c r="B154" s="11" t="n"/>
      <c r="C154" s="11" t="n"/>
      <c r="D154" s="12" t="n"/>
      <c r="E154" s="11" t="n"/>
      <c r="F154" s="11" t="n"/>
      <c r="G154" s="11" t="n"/>
      <c r="H154" s="13" t="n"/>
      <c r="I154" s="12" t="n"/>
      <c r="J154" s="12" t="n"/>
      <c r="K154" s="14">
        <f>IF($H154="","",TODAY()-$H154)</f>
        <v/>
      </c>
      <c r="L154" s="13" t="n"/>
      <c r="M154" s="11" t="n"/>
      <c r="N154" s="13" t="n"/>
      <c r="O154" s="11" t="n"/>
      <c r="P154" s="11" t="n"/>
      <c r="Q154" s="11" t="n"/>
      <c r="R154" s="12" t="n"/>
      <c r="S154" s="11" t="n"/>
    </row>
    <row r="155" ht="15" customHeight="1" s="21">
      <c r="A155" s="11" t="n"/>
      <c r="B155" s="11" t="n"/>
      <c r="C155" s="11" t="n"/>
      <c r="D155" s="12" t="n"/>
      <c r="E155" s="11" t="n"/>
      <c r="F155" s="11" t="n"/>
      <c r="G155" s="11" t="n"/>
      <c r="H155" s="13" t="n"/>
      <c r="I155" s="12" t="n"/>
      <c r="J155" s="12" t="n"/>
      <c r="K155" s="14">
        <f>IF($H155="","",TODAY()-$H155)</f>
        <v/>
      </c>
      <c r="L155" s="13" t="n"/>
      <c r="M155" s="11" t="n"/>
      <c r="N155" s="13" t="n"/>
      <c r="O155" s="11" t="n"/>
      <c r="P155" s="11" t="n"/>
      <c r="Q155" s="11" t="n"/>
      <c r="R155" s="12" t="n"/>
      <c r="S155" s="11" t="n"/>
    </row>
    <row r="156" ht="15" customHeight="1" s="21">
      <c r="A156" s="11" t="n"/>
      <c r="B156" s="11" t="n"/>
      <c r="C156" s="11" t="n"/>
      <c r="D156" s="12" t="n"/>
      <c r="E156" s="11" t="n"/>
      <c r="F156" s="11" t="n"/>
      <c r="G156" s="11" t="n"/>
      <c r="H156" s="13" t="n"/>
      <c r="I156" s="12" t="n"/>
      <c r="J156" s="12" t="n"/>
      <c r="K156" s="14">
        <f>IF($H156="","",TODAY()-$H156)</f>
        <v/>
      </c>
      <c r="L156" s="13" t="n"/>
      <c r="M156" s="11" t="n"/>
      <c r="N156" s="13" t="n"/>
      <c r="O156" s="11" t="n"/>
      <c r="P156" s="11" t="n"/>
      <c r="Q156" s="11" t="n"/>
      <c r="R156" s="12" t="n"/>
      <c r="S156" s="11" t="n"/>
    </row>
    <row r="157" ht="15" customHeight="1" s="21">
      <c r="A157" s="11" t="n"/>
      <c r="B157" s="11" t="n"/>
      <c r="C157" s="11" t="n"/>
      <c r="D157" s="12" t="n"/>
      <c r="E157" s="11" t="n"/>
      <c r="F157" s="11" t="n"/>
      <c r="G157" s="11" t="n"/>
      <c r="H157" s="13" t="n"/>
      <c r="I157" s="12" t="n"/>
      <c r="J157" s="12" t="n"/>
      <c r="K157" s="14">
        <f>IF($H157="","",TODAY()-$H157)</f>
        <v/>
      </c>
      <c r="L157" s="13" t="n"/>
      <c r="M157" s="11" t="n"/>
      <c r="N157" s="13" t="n"/>
      <c r="O157" s="11" t="n"/>
      <c r="P157" s="11" t="n"/>
      <c r="Q157" s="11" t="n"/>
      <c r="R157" s="12" t="n"/>
      <c r="S157" s="11" t="n"/>
    </row>
    <row r="158" ht="15" customHeight="1" s="21">
      <c r="A158" s="11" t="n"/>
      <c r="B158" s="11" t="n"/>
      <c r="C158" s="11" t="n"/>
      <c r="D158" s="12" t="n"/>
      <c r="E158" s="11" t="n"/>
      <c r="F158" s="11" t="n"/>
      <c r="G158" s="11" t="n"/>
      <c r="H158" s="13" t="n"/>
      <c r="I158" s="12" t="n"/>
      <c r="J158" s="12" t="n"/>
      <c r="K158" s="14">
        <f>IF($H158="","",TODAY()-$H158)</f>
        <v/>
      </c>
      <c r="L158" s="13" t="n"/>
      <c r="M158" s="11" t="n"/>
      <c r="N158" s="13" t="n"/>
      <c r="O158" s="11" t="n"/>
      <c r="P158" s="11" t="n"/>
      <c r="Q158" s="11" t="n"/>
      <c r="R158" s="12" t="n"/>
      <c r="S158" s="11" t="n"/>
    </row>
    <row r="159" ht="15" customHeight="1" s="21">
      <c r="A159" s="11" t="n"/>
      <c r="B159" s="11" t="n"/>
      <c r="C159" s="11" t="n"/>
      <c r="D159" s="12" t="n"/>
      <c r="E159" s="11" t="n"/>
      <c r="F159" s="11" t="n"/>
      <c r="G159" s="11" t="n"/>
      <c r="H159" s="13" t="n"/>
      <c r="I159" s="12" t="n"/>
      <c r="J159" s="12" t="n"/>
      <c r="K159" s="14">
        <f>IF($H159="","",TODAY()-$H159)</f>
        <v/>
      </c>
      <c r="L159" s="13" t="n"/>
      <c r="M159" s="11" t="n"/>
      <c r="N159" s="13" t="n"/>
      <c r="O159" s="11" t="n"/>
      <c r="P159" s="11" t="n"/>
      <c r="Q159" s="11" t="n"/>
      <c r="R159" s="12" t="n"/>
      <c r="S159" s="11" t="n"/>
    </row>
    <row r="160" ht="15" customHeight="1" s="21">
      <c r="A160" s="11" t="n"/>
      <c r="B160" s="11" t="n"/>
      <c r="C160" s="11" t="n"/>
      <c r="D160" s="12" t="n"/>
      <c r="E160" s="11" t="n"/>
      <c r="F160" s="11" t="n"/>
      <c r="G160" s="11" t="n"/>
      <c r="H160" s="13" t="n"/>
      <c r="I160" s="12" t="n"/>
      <c r="J160" s="12" t="n"/>
      <c r="K160" s="14">
        <f>IF($H160="","",TODAY()-$H160)</f>
        <v/>
      </c>
      <c r="L160" s="13" t="n"/>
      <c r="M160" s="11" t="n"/>
      <c r="N160" s="13" t="n"/>
      <c r="O160" s="11" t="n"/>
      <c r="P160" s="11" t="n"/>
      <c r="Q160" s="11" t="n"/>
      <c r="R160" s="12" t="n"/>
      <c r="S160" s="11" t="n"/>
    </row>
    <row r="161" ht="15" customHeight="1" s="21">
      <c r="A161" s="11" t="n"/>
      <c r="B161" s="11" t="n"/>
      <c r="C161" s="11" t="n"/>
      <c r="D161" s="12" t="n"/>
      <c r="E161" s="11" t="n"/>
      <c r="F161" s="11" t="n"/>
      <c r="G161" s="11" t="n"/>
      <c r="H161" s="13" t="n"/>
      <c r="I161" s="12" t="n"/>
      <c r="J161" s="12" t="n"/>
      <c r="K161" s="14">
        <f>IF($H161="","",TODAY()-$H161)</f>
        <v/>
      </c>
      <c r="L161" s="13" t="n"/>
      <c r="M161" s="11" t="n"/>
      <c r="N161" s="13" t="n"/>
      <c r="O161" s="11" t="n"/>
      <c r="P161" s="11" t="n"/>
      <c r="Q161" s="11" t="n"/>
      <c r="R161" s="12" t="n"/>
      <c r="S161" s="11" t="n"/>
    </row>
    <row r="162" ht="15" customHeight="1" s="21">
      <c r="A162" s="11" t="n"/>
      <c r="B162" s="11" t="n"/>
      <c r="C162" s="11" t="n"/>
      <c r="D162" s="12" t="n"/>
      <c r="E162" s="11" t="n"/>
      <c r="F162" s="11" t="n"/>
      <c r="G162" s="11" t="n"/>
      <c r="H162" s="13" t="n"/>
      <c r="I162" s="12" t="n"/>
      <c r="J162" s="12" t="n"/>
      <c r="K162" s="14">
        <f>IF($H162="","",TODAY()-$H162)</f>
        <v/>
      </c>
      <c r="L162" s="13" t="n"/>
      <c r="M162" s="11" t="n"/>
      <c r="N162" s="13" t="n"/>
      <c r="O162" s="11" t="n"/>
      <c r="P162" s="11" t="n"/>
      <c r="Q162" s="11" t="n"/>
      <c r="R162" s="12" t="n"/>
      <c r="S162" s="11" t="n"/>
    </row>
    <row r="163" ht="15" customHeight="1" s="21">
      <c r="A163" s="11" t="n"/>
      <c r="B163" s="11" t="n"/>
      <c r="C163" s="11" t="n"/>
      <c r="D163" s="12" t="n"/>
      <c r="E163" s="11" t="n"/>
      <c r="F163" s="11" t="n"/>
      <c r="G163" s="11" t="n"/>
      <c r="H163" s="13" t="n"/>
      <c r="I163" s="12" t="n"/>
      <c r="J163" s="12" t="n"/>
      <c r="K163" s="14">
        <f>IF($H163="","",TODAY()-$H163)</f>
        <v/>
      </c>
      <c r="L163" s="13" t="n"/>
      <c r="M163" s="11" t="n"/>
      <c r="N163" s="13" t="n"/>
      <c r="O163" s="11" t="n"/>
      <c r="P163" s="11" t="n"/>
      <c r="Q163" s="11" t="n"/>
      <c r="R163" s="12" t="n"/>
      <c r="S163" s="11" t="n"/>
    </row>
    <row r="164" ht="15" customHeight="1" s="21">
      <c r="A164" s="11" t="n"/>
      <c r="B164" s="11" t="n"/>
      <c r="C164" s="11" t="n"/>
      <c r="D164" s="12" t="n"/>
      <c r="E164" s="11" t="n"/>
      <c r="F164" s="11" t="n"/>
      <c r="G164" s="11" t="n"/>
      <c r="H164" s="13" t="n"/>
      <c r="I164" s="12" t="n"/>
      <c r="J164" s="12" t="n"/>
      <c r="K164" s="14">
        <f>IF($H164="","",TODAY()-$H164)</f>
        <v/>
      </c>
      <c r="L164" s="13" t="n"/>
      <c r="M164" s="11" t="n"/>
      <c r="N164" s="13" t="n"/>
      <c r="O164" s="11" t="n"/>
      <c r="P164" s="11" t="n"/>
      <c r="Q164" s="11" t="n"/>
      <c r="R164" s="12" t="n"/>
      <c r="S164" s="11" t="n"/>
    </row>
    <row r="165" ht="15" customHeight="1" s="21">
      <c r="A165" s="11" t="n"/>
      <c r="B165" s="11" t="n"/>
      <c r="C165" s="11" t="n"/>
      <c r="D165" s="12" t="n"/>
      <c r="E165" s="11" t="n"/>
      <c r="F165" s="11" t="n"/>
      <c r="G165" s="11" t="n"/>
      <c r="H165" s="13" t="n"/>
      <c r="I165" s="12" t="n"/>
      <c r="J165" s="12" t="n"/>
      <c r="K165" s="14">
        <f>IF($H165="","",TODAY()-$H165)</f>
        <v/>
      </c>
      <c r="L165" s="13" t="n"/>
      <c r="M165" s="11" t="n"/>
      <c r="N165" s="13" t="n"/>
      <c r="O165" s="11" t="n"/>
      <c r="P165" s="11" t="n"/>
      <c r="Q165" s="11" t="n"/>
      <c r="R165" s="12" t="n"/>
      <c r="S165" s="11" t="n"/>
    </row>
    <row r="166" ht="15" customHeight="1" s="21">
      <c r="A166" s="11" t="n"/>
      <c r="B166" s="11" t="n"/>
      <c r="C166" s="11" t="n"/>
      <c r="D166" s="12" t="n"/>
      <c r="E166" s="11" t="n"/>
      <c r="F166" s="11" t="n"/>
      <c r="G166" s="11" t="n"/>
      <c r="H166" s="13" t="n"/>
      <c r="I166" s="12" t="n"/>
      <c r="J166" s="12" t="n"/>
      <c r="K166" s="14">
        <f>IF($H166="","",TODAY()-$H166)</f>
        <v/>
      </c>
      <c r="L166" s="13" t="n"/>
      <c r="M166" s="11" t="n"/>
      <c r="N166" s="13" t="n"/>
      <c r="O166" s="11" t="n"/>
      <c r="P166" s="11" t="n"/>
      <c r="Q166" s="11" t="n"/>
      <c r="R166" s="12" t="n"/>
      <c r="S166" s="11" t="n"/>
    </row>
    <row r="167" ht="15" customHeight="1" s="21">
      <c r="A167" s="11" t="n"/>
      <c r="B167" s="11" t="n"/>
      <c r="C167" s="11" t="n"/>
      <c r="D167" s="12" t="n"/>
      <c r="E167" s="11" t="n"/>
      <c r="F167" s="11" t="n"/>
      <c r="G167" s="11" t="n"/>
      <c r="H167" s="13" t="n"/>
      <c r="I167" s="12" t="n"/>
      <c r="J167" s="12" t="n"/>
      <c r="K167" s="14">
        <f>IF($H167="","",TODAY()-$H167)</f>
        <v/>
      </c>
      <c r="L167" s="13" t="n"/>
      <c r="M167" s="11" t="n"/>
      <c r="N167" s="13" t="n"/>
      <c r="O167" s="11" t="n"/>
      <c r="P167" s="11" t="n"/>
      <c r="Q167" s="11" t="n"/>
      <c r="R167" s="12" t="n"/>
      <c r="S167" s="11" t="n"/>
    </row>
    <row r="168" ht="15" customHeight="1" s="21">
      <c r="A168" s="11" t="n"/>
      <c r="B168" s="11" t="n"/>
      <c r="C168" s="11" t="n"/>
      <c r="D168" s="12" t="n"/>
      <c r="E168" s="11" t="n"/>
      <c r="F168" s="11" t="n"/>
      <c r="G168" s="11" t="n"/>
      <c r="H168" s="13" t="n"/>
      <c r="I168" s="12" t="n"/>
      <c r="J168" s="12" t="n"/>
      <c r="K168" s="14">
        <f>IF($H168="","",TODAY()-$H168)</f>
        <v/>
      </c>
      <c r="L168" s="13" t="n"/>
      <c r="M168" s="11" t="n"/>
      <c r="N168" s="13" t="n"/>
      <c r="O168" s="11" t="n"/>
      <c r="P168" s="11" t="n"/>
      <c r="Q168" s="11" t="n"/>
      <c r="R168" s="12" t="n"/>
      <c r="S168" s="11" t="n"/>
    </row>
    <row r="169" ht="15" customHeight="1" s="21">
      <c r="A169" s="11" t="n"/>
      <c r="B169" s="11" t="n"/>
      <c r="C169" s="11" t="n"/>
      <c r="D169" s="12" t="n"/>
      <c r="E169" s="11" t="n"/>
      <c r="F169" s="11" t="n"/>
      <c r="G169" s="11" t="n"/>
      <c r="H169" s="13" t="n"/>
      <c r="I169" s="12" t="n"/>
      <c r="J169" s="12" t="n"/>
      <c r="K169" s="14">
        <f>IF($H169="","",TODAY()-$H169)</f>
        <v/>
      </c>
      <c r="L169" s="13" t="n"/>
      <c r="M169" s="11" t="n"/>
      <c r="N169" s="13" t="n"/>
      <c r="O169" s="11" t="n"/>
      <c r="P169" s="11" t="n"/>
      <c r="Q169" s="11" t="n"/>
      <c r="R169" s="12" t="n"/>
      <c r="S169" s="11" t="n"/>
    </row>
    <row r="170" ht="15" customHeight="1" s="21">
      <c r="A170" s="11" t="n"/>
      <c r="B170" s="11" t="n"/>
      <c r="C170" s="11" t="n"/>
      <c r="D170" s="12" t="n"/>
      <c r="E170" s="11" t="n"/>
      <c r="F170" s="11" t="n"/>
      <c r="G170" s="11" t="n"/>
      <c r="H170" s="13" t="n"/>
      <c r="I170" s="12" t="n"/>
      <c r="J170" s="12" t="n"/>
      <c r="K170" s="14">
        <f>IF($H170="","",TODAY()-$H170)</f>
        <v/>
      </c>
      <c r="L170" s="13" t="n"/>
      <c r="M170" s="11" t="n"/>
      <c r="N170" s="13" t="n"/>
      <c r="O170" s="11" t="n"/>
      <c r="P170" s="11" t="n"/>
      <c r="Q170" s="11" t="n"/>
      <c r="R170" s="12" t="n"/>
      <c r="S170" s="11" t="n"/>
    </row>
    <row r="171" ht="15" customHeight="1" s="21">
      <c r="A171" s="11" t="n"/>
      <c r="B171" s="11" t="n"/>
      <c r="C171" s="11" t="n"/>
      <c r="D171" s="12" t="n"/>
      <c r="E171" s="11" t="n"/>
      <c r="F171" s="11" t="n"/>
      <c r="G171" s="11" t="n"/>
      <c r="H171" s="13" t="n"/>
      <c r="I171" s="12" t="n"/>
      <c r="J171" s="12" t="n"/>
      <c r="K171" s="14">
        <f>IF($H171="","",TODAY()-$H171)</f>
        <v/>
      </c>
      <c r="L171" s="13" t="n"/>
      <c r="M171" s="11" t="n"/>
      <c r="N171" s="13" t="n"/>
      <c r="O171" s="11" t="n"/>
      <c r="P171" s="11" t="n"/>
      <c r="Q171" s="11" t="n"/>
      <c r="R171" s="12" t="n"/>
      <c r="S171" s="11" t="n"/>
    </row>
    <row r="172" ht="15" customHeight="1" s="21">
      <c r="A172" s="11" t="n"/>
      <c r="B172" s="11" t="n"/>
      <c r="C172" s="11" t="n"/>
      <c r="D172" s="12" t="n"/>
      <c r="E172" s="11" t="n"/>
      <c r="F172" s="11" t="n"/>
      <c r="G172" s="11" t="n"/>
      <c r="H172" s="13" t="n"/>
      <c r="I172" s="12" t="n"/>
      <c r="J172" s="12" t="n"/>
      <c r="K172" s="14">
        <f>IF($H172="","",TODAY()-$H172)</f>
        <v/>
      </c>
      <c r="L172" s="13" t="n"/>
      <c r="M172" s="11" t="n"/>
      <c r="N172" s="13" t="n"/>
      <c r="O172" s="11" t="n"/>
      <c r="P172" s="11" t="n"/>
      <c r="Q172" s="11" t="n"/>
      <c r="R172" s="12" t="n"/>
      <c r="S172" s="11" t="n"/>
    </row>
    <row r="173" ht="15" customHeight="1" s="21">
      <c r="A173" s="11" t="n"/>
      <c r="B173" s="11" t="n"/>
      <c r="C173" s="11" t="n"/>
      <c r="D173" s="12" t="n"/>
      <c r="E173" s="11" t="n"/>
      <c r="F173" s="11" t="n"/>
      <c r="G173" s="11" t="n"/>
      <c r="H173" s="13" t="n"/>
      <c r="I173" s="12" t="n"/>
      <c r="J173" s="12" t="n"/>
      <c r="K173" s="14">
        <f>IF($H173="","",TODAY()-$H173)</f>
        <v/>
      </c>
      <c r="L173" s="13" t="n"/>
      <c r="M173" s="11" t="n"/>
      <c r="N173" s="13" t="n"/>
      <c r="O173" s="11" t="n"/>
      <c r="P173" s="11" t="n"/>
      <c r="Q173" s="11" t="n"/>
      <c r="R173" s="12" t="n"/>
      <c r="S173" s="11" t="n"/>
    </row>
    <row r="174" ht="15" customHeight="1" s="21">
      <c r="A174" s="11" t="n"/>
      <c r="B174" s="11" t="n"/>
      <c r="C174" s="11" t="n"/>
      <c r="D174" s="12" t="n"/>
      <c r="E174" s="11" t="n"/>
      <c r="F174" s="11" t="n"/>
      <c r="G174" s="11" t="n"/>
      <c r="H174" s="13" t="n"/>
      <c r="I174" s="12" t="n"/>
      <c r="J174" s="12" t="n"/>
      <c r="K174" s="14">
        <f>IF($H174="","",TODAY()-$H174)</f>
        <v/>
      </c>
      <c r="L174" s="13" t="n"/>
      <c r="M174" s="11" t="n"/>
      <c r="N174" s="13" t="n"/>
      <c r="O174" s="11" t="n"/>
      <c r="P174" s="11" t="n"/>
      <c r="Q174" s="11" t="n"/>
      <c r="R174" s="12" t="n"/>
      <c r="S174" s="11" t="n"/>
    </row>
    <row r="175" ht="15" customHeight="1" s="21">
      <c r="A175" s="11" t="n"/>
      <c r="B175" s="11" t="n"/>
      <c r="C175" s="11" t="n"/>
      <c r="D175" s="12" t="n"/>
      <c r="E175" s="11" t="n"/>
      <c r="F175" s="11" t="n"/>
      <c r="G175" s="11" t="n"/>
      <c r="H175" s="13" t="n"/>
      <c r="I175" s="12" t="n"/>
      <c r="J175" s="12" t="n"/>
      <c r="K175" s="14">
        <f>IF($H175="","",TODAY()-$H175)</f>
        <v/>
      </c>
      <c r="L175" s="13" t="n"/>
      <c r="M175" s="11" t="n"/>
      <c r="N175" s="13" t="n"/>
      <c r="O175" s="11" t="n"/>
      <c r="P175" s="11" t="n"/>
      <c r="Q175" s="11" t="n"/>
      <c r="R175" s="12" t="n"/>
      <c r="S175" s="11" t="n"/>
    </row>
    <row r="176" ht="15" customHeight="1" s="21">
      <c r="A176" s="11" t="n"/>
      <c r="B176" s="11" t="n"/>
      <c r="C176" s="11" t="n"/>
      <c r="D176" s="12" t="n"/>
      <c r="E176" s="11" t="n"/>
      <c r="F176" s="11" t="n"/>
      <c r="G176" s="11" t="n"/>
      <c r="H176" s="13" t="n"/>
      <c r="I176" s="12" t="n"/>
      <c r="J176" s="12" t="n"/>
      <c r="K176" s="14">
        <f>IF($H176="","",TODAY()-$H176)</f>
        <v/>
      </c>
      <c r="L176" s="13" t="n"/>
      <c r="M176" s="11" t="n"/>
      <c r="N176" s="13" t="n"/>
      <c r="O176" s="11" t="n"/>
      <c r="P176" s="11" t="n"/>
      <c r="Q176" s="11" t="n"/>
      <c r="R176" s="12" t="n"/>
      <c r="S176" s="11" t="n"/>
    </row>
    <row r="177" ht="15" customHeight="1" s="21">
      <c r="A177" s="11" t="n"/>
      <c r="B177" s="11" t="n"/>
      <c r="C177" s="11" t="n"/>
      <c r="D177" s="12" t="n"/>
      <c r="E177" s="11" t="n"/>
      <c r="F177" s="11" t="n"/>
      <c r="G177" s="11" t="n"/>
      <c r="H177" s="13" t="n"/>
      <c r="I177" s="12" t="n"/>
      <c r="J177" s="12" t="n"/>
      <c r="K177" s="14">
        <f>IF($H177="","",TODAY()-$H177)</f>
        <v/>
      </c>
      <c r="L177" s="13" t="n"/>
      <c r="M177" s="11" t="n"/>
      <c r="N177" s="13" t="n"/>
      <c r="O177" s="11" t="n"/>
      <c r="P177" s="11" t="n"/>
      <c r="Q177" s="11" t="n"/>
      <c r="R177" s="12" t="n"/>
      <c r="S177" s="11" t="n"/>
    </row>
    <row r="178" ht="15" customHeight="1" s="21">
      <c r="A178" s="11" t="n"/>
      <c r="B178" s="11" t="n"/>
      <c r="C178" s="11" t="n"/>
      <c r="D178" s="12" t="n"/>
      <c r="E178" s="11" t="n"/>
      <c r="F178" s="11" t="n"/>
      <c r="G178" s="11" t="n"/>
      <c r="H178" s="13" t="n"/>
      <c r="I178" s="12" t="n"/>
      <c r="J178" s="12" t="n"/>
      <c r="K178" s="14">
        <f>IF($H178="","",TODAY()-$H178)</f>
        <v/>
      </c>
      <c r="L178" s="13" t="n"/>
      <c r="M178" s="11" t="n"/>
      <c r="N178" s="13" t="n"/>
      <c r="O178" s="11" t="n"/>
      <c r="P178" s="11" t="n"/>
      <c r="Q178" s="11" t="n"/>
      <c r="R178" s="12" t="n"/>
      <c r="S178" s="11" t="n"/>
    </row>
    <row r="179" ht="15" customHeight="1" s="21">
      <c r="A179" s="11" t="n"/>
      <c r="B179" s="11" t="n"/>
      <c r="C179" s="11" t="n"/>
      <c r="D179" s="12" t="n"/>
      <c r="E179" s="11" t="n"/>
      <c r="F179" s="11" t="n"/>
      <c r="G179" s="11" t="n"/>
      <c r="H179" s="13" t="n"/>
      <c r="I179" s="12" t="n"/>
      <c r="J179" s="12" t="n"/>
      <c r="K179" s="14">
        <f>IF($H179="","",TODAY()-$H179)</f>
        <v/>
      </c>
      <c r="L179" s="13" t="n"/>
      <c r="M179" s="11" t="n"/>
      <c r="N179" s="13" t="n"/>
      <c r="O179" s="11" t="n"/>
      <c r="P179" s="11" t="n"/>
      <c r="Q179" s="11" t="n"/>
      <c r="R179" s="12" t="n"/>
      <c r="S179" s="11" t="n"/>
    </row>
    <row r="180" ht="15" customHeight="1" s="21">
      <c r="A180" s="11" t="n"/>
      <c r="B180" s="11" t="n"/>
      <c r="C180" s="11" t="n"/>
      <c r="D180" s="12" t="n"/>
      <c r="E180" s="11" t="n"/>
      <c r="F180" s="11" t="n"/>
      <c r="G180" s="11" t="n"/>
      <c r="H180" s="13" t="n"/>
      <c r="I180" s="12" t="n"/>
      <c r="J180" s="12" t="n"/>
      <c r="K180" s="14">
        <f>IF($H180="","",TODAY()-$H180)</f>
        <v/>
      </c>
      <c r="L180" s="13" t="n"/>
      <c r="M180" s="11" t="n"/>
      <c r="N180" s="13" t="n"/>
      <c r="O180" s="11" t="n"/>
      <c r="P180" s="11" t="n"/>
      <c r="Q180" s="11" t="n"/>
      <c r="R180" s="12" t="n"/>
      <c r="S180" s="11" t="n"/>
    </row>
    <row r="181" ht="15" customHeight="1" s="21">
      <c r="A181" s="11" t="n"/>
      <c r="B181" s="11" t="n"/>
      <c r="C181" s="11" t="n"/>
      <c r="D181" s="12" t="n"/>
      <c r="E181" s="11" t="n"/>
      <c r="F181" s="11" t="n"/>
      <c r="G181" s="11" t="n"/>
      <c r="H181" s="13" t="n"/>
      <c r="I181" s="12" t="n"/>
      <c r="J181" s="12" t="n"/>
      <c r="K181" s="14">
        <f>IF($H181="","",TODAY()-$H181)</f>
        <v/>
      </c>
      <c r="L181" s="13" t="n"/>
      <c r="M181" s="11" t="n"/>
      <c r="N181" s="13" t="n"/>
      <c r="O181" s="11" t="n"/>
      <c r="P181" s="11" t="n"/>
      <c r="Q181" s="11" t="n"/>
      <c r="R181" s="12" t="n"/>
      <c r="S181" s="11" t="n"/>
    </row>
    <row r="182" ht="15" customHeight="1" s="21">
      <c r="A182" s="11" t="n"/>
      <c r="B182" s="11" t="n"/>
      <c r="C182" s="11" t="n"/>
      <c r="D182" s="12" t="n"/>
      <c r="E182" s="11" t="n"/>
      <c r="F182" s="11" t="n"/>
      <c r="G182" s="11" t="n"/>
      <c r="H182" s="13" t="n"/>
      <c r="I182" s="12" t="n"/>
      <c r="J182" s="12" t="n"/>
      <c r="K182" s="14">
        <f>IF($H182="","",TODAY()-$H182)</f>
        <v/>
      </c>
      <c r="L182" s="13" t="n"/>
      <c r="M182" s="11" t="n"/>
      <c r="N182" s="13" t="n"/>
      <c r="O182" s="11" t="n"/>
      <c r="P182" s="11" t="n"/>
      <c r="Q182" s="11" t="n"/>
      <c r="R182" s="12" t="n"/>
      <c r="S182" s="11" t="n"/>
    </row>
    <row r="183" ht="15" customHeight="1" s="21">
      <c r="A183" s="11" t="n"/>
      <c r="B183" s="11" t="n"/>
      <c r="C183" s="11" t="n"/>
      <c r="D183" s="12" t="n"/>
      <c r="E183" s="11" t="n"/>
      <c r="F183" s="11" t="n"/>
      <c r="G183" s="11" t="n"/>
      <c r="H183" s="13" t="n"/>
      <c r="I183" s="12" t="n"/>
      <c r="J183" s="12" t="n"/>
      <c r="K183" s="14">
        <f>IF($H183="","",TODAY()-$H183)</f>
        <v/>
      </c>
      <c r="L183" s="13" t="n"/>
      <c r="M183" s="11" t="n"/>
      <c r="N183" s="13" t="n"/>
      <c r="O183" s="11" t="n"/>
      <c r="P183" s="11" t="n"/>
      <c r="Q183" s="11" t="n"/>
      <c r="R183" s="12" t="n"/>
      <c r="S183" s="11" t="n"/>
    </row>
    <row r="184" ht="15" customHeight="1" s="21">
      <c r="A184" s="11" t="n"/>
      <c r="B184" s="11" t="n"/>
      <c r="C184" s="11" t="n"/>
      <c r="D184" s="12" t="n"/>
      <c r="E184" s="11" t="n"/>
      <c r="F184" s="11" t="n"/>
      <c r="G184" s="11" t="n"/>
      <c r="H184" s="13" t="n"/>
      <c r="I184" s="12" t="n"/>
      <c r="J184" s="12" t="n"/>
      <c r="K184" s="14">
        <f>IF($H184="","",TODAY()-$H184)</f>
        <v/>
      </c>
      <c r="L184" s="13" t="n"/>
      <c r="M184" s="11" t="n"/>
      <c r="N184" s="13" t="n"/>
      <c r="O184" s="11" t="n"/>
      <c r="P184" s="11" t="n"/>
      <c r="Q184" s="11" t="n"/>
      <c r="R184" s="12" t="n"/>
      <c r="S184" s="11" t="n"/>
    </row>
    <row r="185" ht="15" customHeight="1" s="21">
      <c r="A185" s="11" t="n"/>
      <c r="B185" s="11" t="n"/>
      <c r="C185" s="11" t="n"/>
      <c r="D185" s="12" t="n"/>
      <c r="E185" s="11" t="n"/>
      <c r="F185" s="11" t="n"/>
      <c r="G185" s="11" t="n"/>
      <c r="H185" s="13" t="n"/>
      <c r="I185" s="12" t="n"/>
      <c r="J185" s="12" t="n"/>
      <c r="K185" s="14">
        <f>IF($H185="","",TODAY()-$H185)</f>
        <v/>
      </c>
      <c r="L185" s="13" t="n"/>
      <c r="M185" s="11" t="n"/>
      <c r="N185" s="13" t="n"/>
      <c r="O185" s="11" t="n"/>
      <c r="P185" s="11" t="n"/>
      <c r="Q185" s="11" t="n"/>
      <c r="R185" s="12" t="n"/>
      <c r="S185" s="11" t="n"/>
    </row>
    <row r="186" ht="15" customHeight="1" s="21">
      <c r="A186" s="11" t="n"/>
      <c r="B186" s="11" t="n"/>
      <c r="C186" s="11" t="n"/>
      <c r="D186" s="12" t="n"/>
      <c r="E186" s="11" t="n"/>
      <c r="F186" s="11" t="n"/>
      <c r="G186" s="11" t="n"/>
      <c r="H186" s="13" t="n"/>
      <c r="I186" s="12" t="n"/>
      <c r="J186" s="12" t="n"/>
      <c r="K186" s="14">
        <f>IF($H186="","",TODAY()-$H186)</f>
        <v/>
      </c>
      <c r="L186" s="13" t="n"/>
      <c r="M186" s="11" t="n"/>
      <c r="N186" s="13" t="n"/>
      <c r="O186" s="11" t="n"/>
      <c r="P186" s="11" t="n"/>
      <c r="Q186" s="11" t="n"/>
      <c r="R186" s="12" t="n"/>
      <c r="S186" s="11" t="n"/>
    </row>
    <row r="187" ht="15" customHeight="1" s="21">
      <c r="A187" s="11" t="n"/>
      <c r="B187" s="11" t="n"/>
      <c r="C187" s="11" t="n"/>
      <c r="D187" s="12" t="n"/>
      <c r="E187" s="11" t="n"/>
      <c r="F187" s="11" t="n"/>
      <c r="G187" s="11" t="n"/>
      <c r="H187" s="13" t="n"/>
      <c r="I187" s="12" t="n"/>
      <c r="J187" s="12" t="n"/>
      <c r="K187" s="14">
        <f>IF($H187="","",TODAY()-$H187)</f>
        <v/>
      </c>
      <c r="L187" s="13" t="n"/>
      <c r="M187" s="11" t="n"/>
      <c r="N187" s="13" t="n"/>
      <c r="O187" s="11" t="n"/>
      <c r="P187" s="11" t="n"/>
      <c r="Q187" s="11" t="n"/>
      <c r="R187" s="12" t="n"/>
      <c r="S187" s="11" t="n"/>
    </row>
    <row r="188" ht="15" customHeight="1" s="21">
      <c r="A188" s="11" t="n"/>
      <c r="B188" s="11" t="n"/>
      <c r="C188" s="11" t="n"/>
      <c r="D188" s="12" t="n"/>
      <c r="E188" s="11" t="n"/>
      <c r="F188" s="11" t="n"/>
      <c r="G188" s="11" t="n"/>
      <c r="H188" s="13" t="n"/>
      <c r="I188" s="12" t="n"/>
      <c r="J188" s="12" t="n"/>
      <c r="K188" s="14">
        <f>IF($H188="","",TODAY()-$H188)</f>
        <v/>
      </c>
      <c r="L188" s="13" t="n"/>
      <c r="M188" s="11" t="n"/>
      <c r="N188" s="13" t="n"/>
      <c r="O188" s="11" t="n"/>
      <c r="P188" s="11" t="n"/>
      <c r="Q188" s="11" t="n"/>
      <c r="R188" s="12" t="n"/>
      <c r="S188" s="11" t="n"/>
    </row>
    <row r="189" ht="15" customHeight="1" s="21">
      <c r="A189" s="11" t="n"/>
      <c r="B189" s="11" t="n"/>
      <c r="C189" s="11" t="n"/>
      <c r="D189" s="12" t="n"/>
      <c r="E189" s="11" t="n"/>
      <c r="F189" s="11" t="n"/>
      <c r="G189" s="11" t="n"/>
      <c r="H189" s="13" t="n"/>
      <c r="I189" s="12" t="n"/>
      <c r="J189" s="12" t="n"/>
      <c r="K189" s="14">
        <f>IF($H189="","",TODAY()-$H189)</f>
        <v/>
      </c>
      <c r="L189" s="13" t="n"/>
      <c r="M189" s="11" t="n"/>
      <c r="N189" s="13" t="n"/>
      <c r="O189" s="11" t="n"/>
      <c r="P189" s="11" t="n"/>
      <c r="Q189" s="11" t="n"/>
      <c r="R189" s="12" t="n"/>
      <c r="S189" s="11" t="n"/>
    </row>
    <row r="190" ht="15" customHeight="1" s="21">
      <c r="A190" s="11" t="n"/>
      <c r="B190" s="11" t="n"/>
      <c r="C190" s="11" t="n"/>
      <c r="D190" s="12" t="n"/>
      <c r="E190" s="11" t="n"/>
      <c r="F190" s="11" t="n"/>
      <c r="G190" s="11" t="n"/>
      <c r="H190" s="13" t="n"/>
      <c r="I190" s="12" t="n"/>
      <c r="J190" s="12" t="n"/>
      <c r="K190" s="14">
        <f>IF($H190="","",TODAY()-$H190)</f>
        <v/>
      </c>
      <c r="L190" s="13" t="n"/>
      <c r="M190" s="11" t="n"/>
      <c r="N190" s="13" t="n"/>
      <c r="O190" s="11" t="n"/>
      <c r="P190" s="11" t="n"/>
      <c r="Q190" s="11" t="n"/>
      <c r="R190" s="12" t="n"/>
      <c r="S190" s="11" t="n"/>
    </row>
    <row r="191" ht="15" customHeight="1" s="21">
      <c r="A191" s="11" t="n"/>
      <c r="B191" s="11" t="n"/>
      <c r="C191" s="11" t="n"/>
      <c r="D191" s="12" t="n"/>
      <c r="E191" s="11" t="n"/>
      <c r="F191" s="11" t="n"/>
      <c r="G191" s="11" t="n"/>
      <c r="H191" s="13" t="n"/>
      <c r="I191" s="12" t="n"/>
      <c r="J191" s="12" t="n"/>
      <c r="K191" s="14">
        <f>IF($H191="","",TODAY()-$H191)</f>
        <v/>
      </c>
      <c r="L191" s="13" t="n"/>
      <c r="M191" s="11" t="n"/>
      <c r="N191" s="13" t="n"/>
      <c r="O191" s="11" t="n"/>
      <c r="P191" s="11" t="n"/>
      <c r="Q191" s="11" t="n"/>
      <c r="R191" s="12" t="n"/>
      <c r="S191" s="11" t="n"/>
    </row>
    <row r="192" ht="15" customHeight="1" s="21">
      <c r="A192" s="11" t="n"/>
      <c r="B192" s="11" t="n"/>
      <c r="C192" s="11" t="n"/>
      <c r="D192" s="12" t="n"/>
      <c r="E192" s="11" t="n"/>
      <c r="F192" s="11" t="n"/>
      <c r="G192" s="11" t="n"/>
      <c r="H192" s="13" t="n"/>
      <c r="I192" s="12" t="n"/>
      <c r="J192" s="12" t="n"/>
      <c r="K192" s="14">
        <f>IF($H192="","",TODAY()-$H192)</f>
        <v/>
      </c>
      <c r="L192" s="13" t="n"/>
      <c r="M192" s="11" t="n"/>
      <c r="N192" s="13" t="n"/>
      <c r="O192" s="11" t="n"/>
      <c r="P192" s="11" t="n"/>
      <c r="Q192" s="11" t="n"/>
      <c r="R192" s="12" t="n"/>
      <c r="S192" s="11" t="n"/>
    </row>
    <row r="193" ht="15" customHeight="1" s="21">
      <c r="A193" s="11" t="n"/>
      <c r="B193" s="11" t="n"/>
      <c r="C193" s="11" t="n"/>
      <c r="D193" s="12" t="n"/>
      <c r="E193" s="11" t="n"/>
      <c r="F193" s="11" t="n"/>
      <c r="G193" s="11" t="n"/>
      <c r="H193" s="13" t="n"/>
      <c r="I193" s="12" t="n"/>
      <c r="J193" s="12" t="n"/>
      <c r="K193" s="14">
        <f>IF($H193="","",TODAY()-$H193)</f>
        <v/>
      </c>
      <c r="L193" s="13" t="n"/>
      <c r="M193" s="11" t="n"/>
      <c r="N193" s="13" t="n"/>
      <c r="O193" s="11" t="n"/>
      <c r="P193" s="11" t="n"/>
      <c r="Q193" s="11" t="n"/>
      <c r="R193" s="12" t="n"/>
      <c r="S193" s="11" t="n"/>
    </row>
    <row r="194" ht="15" customHeight="1" s="21">
      <c r="A194" s="11" t="n"/>
      <c r="B194" s="11" t="n"/>
      <c r="C194" s="11" t="n"/>
      <c r="D194" s="12" t="n"/>
      <c r="E194" s="11" t="n"/>
      <c r="F194" s="11" t="n"/>
      <c r="G194" s="11" t="n"/>
      <c r="H194" s="13" t="n"/>
      <c r="I194" s="12" t="n"/>
      <c r="J194" s="12" t="n"/>
      <c r="K194" s="14">
        <f>IF($H194="","",TODAY()-$H194)</f>
        <v/>
      </c>
      <c r="L194" s="13" t="n"/>
      <c r="M194" s="11" t="n"/>
      <c r="N194" s="13" t="n"/>
      <c r="O194" s="11" t="n"/>
      <c r="P194" s="11" t="n"/>
      <c r="Q194" s="11" t="n"/>
      <c r="R194" s="12" t="n"/>
      <c r="S194" s="11" t="n"/>
    </row>
    <row r="195" ht="15" customHeight="1" s="21">
      <c r="A195" s="11" t="n"/>
      <c r="B195" s="11" t="n"/>
      <c r="C195" s="11" t="n"/>
      <c r="D195" s="12" t="n"/>
      <c r="E195" s="11" t="n"/>
      <c r="F195" s="11" t="n"/>
      <c r="G195" s="11" t="n"/>
      <c r="H195" s="13" t="n"/>
      <c r="I195" s="12" t="n"/>
      <c r="J195" s="12" t="n"/>
      <c r="K195" s="14">
        <f>IF($H195="","",TODAY()-$H195)</f>
        <v/>
      </c>
      <c r="L195" s="13" t="n"/>
      <c r="M195" s="11" t="n"/>
      <c r="N195" s="13" t="n"/>
      <c r="O195" s="11" t="n"/>
      <c r="P195" s="11" t="n"/>
      <c r="Q195" s="11" t="n"/>
      <c r="R195" s="12" t="n"/>
      <c r="S195" s="11" t="n"/>
    </row>
    <row r="196" ht="15" customHeight="1" s="21">
      <c r="A196" s="11" t="n"/>
      <c r="B196" s="11" t="n"/>
      <c r="C196" s="11" t="n"/>
      <c r="D196" s="12" t="n"/>
      <c r="E196" s="11" t="n"/>
      <c r="F196" s="11" t="n"/>
      <c r="G196" s="11" t="n"/>
      <c r="H196" s="13" t="n"/>
      <c r="I196" s="12" t="n"/>
      <c r="J196" s="12" t="n"/>
      <c r="K196" s="14">
        <f>IF($H196="","",TODAY()-$H196)</f>
        <v/>
      </c>
      <c r="L196" s="13" t="n"/>
      <c r="M196" s="11" t="n"/>
      <c r="N196" s="13" t="n"/>
      <c r="O196" s="11" t="n"/>
      <c r="P196" s="11" t="n"/>
      <c r="Q196" s="11" t="n"/>
      <c r="R196" s="12" t="n"/>
      <c r="S196" s="11" t="n"/>
    </row>
    <row r="197" ht="15" customHeight="1" s="21">
      <c r="A197" s="11" t="n"/>
      <c r="B197" s="11" t="n"/>
      <c r="C197" s="11" t="n"/>
      <c r="D197" s="12" t="n"/>
      <c r="E197" s="11" t="n"/>
      <c r="F197" s="11" t="n"/>
      <c r="G197" s="11" t="n"/>
      <c r="H197" s="13" t="n"/>
      <c r="I197" s="12" t="n"/>
      <c r="J197" s="12" t="n"/>
      <c r="K197" s="14">
        <f>IF($H197="","",TODAY()-$H197)</f>
        <v/>
      </c>
      <c r="L197" s="13" t="n"/>
      <c r="M197" s="11" t="n"/>
      <c r="N197" s="13" t="n"/>
      <c r="O197" s="11" t="n"/>
      <c r="P197" s="11" t="n"/>
      <c r="Q197" s="11" t="n"/>
      <c r="R197" s="12" t="n"/>
      <c r="S197" s="11" t="n"/>
    </row>
    <row r="198" ht="15" customHeight="1" s="21">
      <c r="A198" s="11" t="n"/>
      <c r="B198" s="11" t="n"/>
      <c r="C198" s="11" t="n"/>
      <c r="D198" s="12" t="n"/>
      <c r="E198" s="11" t="n"/>
      <c r="F198" s="11" t="n"/>
      <c r="G198" s="11" t="n"/>
      <c r="H198" s="13" t="n"/>
      <c r="I198" s="12" t="n"/>
      <c r="J198" s="12" t="n"/>
      <c r="K198" s="14">
        <f>IF($H198="","",TODAY()-$H198)</f>
        <v/>
      </c>
      <c r="L198" s="13" t="n"/>
      <c r="M198" s="11" t="n"/>
      <c r="N198" s="13" t="n"/>
      <c r="O198" s="11" t="n"/>
      <c r="P198" s="11" t="n"/>
      <c r="Q198" s="11" t="n"/>
      <c r="R198" s="12" t="n"/>
      <c r="S198" s="11" t="n"/>
    </row>
    <row r="199" ht="15" customHeight="1" s="21">
      <c r="A199" s="11" t="n"/>
      <c r="B199" s="11" t="n"/>
      <c r="C199" s="11" t="n"/>
      <c r="D199" s="12" t="n"/>
      <c r="E199" s="11" t="n"/>
      <c r="F199" s="11" t="n"/>
      <c r="G199" s="11" t="n"/>
      <c r="H199" s="13" t="n"/>
      <c r="I199" s="12" t="n"/>
      <c r="J199" s="12" t="n"/>
      <c r="K199" s="14">
        <f>IF($H199="","",TODAY()-$H199)</f>
        <v/>
      </c>
      <c r="L199" s="13" t="n"/>
      <c r="M199" s="11" t="n"/>
      <c r="N199" s="13" t="n"/>
      <c r="O199" s="11" t="n"/>
      <c r="P199" s="11" t="n"/>
      <c r="Q199" s="11" t="n"/>
      <c r="R199" s="12" t="n"/>
      <c r="S199" s="11" t="n"/>
    </row>
    <row r="200" ht="15" customHeight="1" s="21">
      <c r="A200" s="11" t="n"/>
      <c r="B200" s="11" t="n"/>
      <c r="C200" s="11" t="n"/>
      <c r="D200" s="12" t="n"/>
      <c r="E200" s="11" t="n"/>
      <c r="F200" s="11" t="n"/>
      <c r="G200" s="11" t="n"/>
      <c r="H200" s="13" t="n"/>
      <c r="I200" s="12" t="n"/>
      <c r="J200" s="12" t="n"/>
      <c r="K200" s="14">
        <f>IF($H200="","",TODAY()-$H200)</f>
        <v/>
      </c>
      <c r="L200" s="13" t="n"/>
      <c r="M200" s="11" t="n"/>
      <c r="N200" s="13" t="n"/>
      <c r="O200" s="11" t="n"/>
      <c r="P200" s="11" t="n"/>
      <c r="Q200" s="11" t="n"/>
      <c r="R200" s="12" t="n"/>
      <c r="S200" s="11" t="n"/>
    </row>
    <row r="201" ht="15" customHeight="1" s="21">
      <c r="A201" s="11" t="n"/>
      <c r="B201" s="11" t="n"/>
      <c r="C201" s="11" t="n"/>
      <c r="D201" s="12" t="n"/>
      <c r="E201" s="11" t="n"/>
      <c r="F201" s="11" t="n"/>
      <c r="G201" s="11" t="n"/>
      <c r="H201" s="13" t="n"/>
      <c r="I201" s="12" t="n"/>
      <c r="J201" s="12" t="n"/>
      <c r="K201" s="14">
        <f>IF($H201="","",TODAY()-$H201)</f>
        <v/>
      </c>
      <c r="L201" s="13" t="n"/>
      <c r="M201" s="11" t="n"/>
      <c r="N201" s="13" t="n"/>
      <c r="O201" s="11" t="n"/>
      <c r="P201" s="11" t="n"/>
      <c r="Q201" s="11" t="n"/>
      <c r="R201" s="12" t="n"/>
      <c r="S201" s="11" t="n"/>
    </row>
    <row r="202" ht="15" customHeight="1" s="21">
      <c r="A202" s="11" t="n"/>
      <c r="B202" s="11" t="n"/>
      <c r="C202" s="11" t="n"/>
      <c r="D202" s="12" t="n"/>
      <c r="E202" s="11" t="n"/>
      <c r="F202" s="11" t="n"/>
      <c r="G202" s="11" t="n"/>
      <c r="H202" s="13" t="n"/>
      <c r="I202" s="12" t="n"/>
      <c r="J202" s="12" t="n"/>
      <c r="K202" s="14">
        <f>IF($H202="","",TODAY()-$H202)</f>
        <v/>
      </c>
      <c r="L202" s="13" t="n"/>
      <c r="M202" s="11" t="n"/>
      <c r="N202" s="13" t="n"/>
      <c r="O202" s="11" t="n"/>
      <c r="P202" s="11" t="n"/>
      <c r="Q202" s="11" t="n"/>
      <c r="R202" s="12" t="n"/>
      <c r="S202" s="11" t="n"/>
    </row>
    <row r="203" ht="15" customHeight="1" s="21">
      <c r="A203" s="11" t="n"/>
      <c r="B203" s="11" t="n"/>
      <c r="C203" s="11" t="n"/>
      <c r="D203" s="12" t="n"/>
      <c r="E203" s="11" t="n"/>
      <c r="F203" s="11" t="n"/>
      <c r="G203" s="11" t="n"/>
      <c r="H203" s="13" t="n"/>
      <c r="I203" s="12" t="n"/>
      <c r="J203" s="12" t="n"/>
      <c r="K203" s="14">
        <f>IF($H203="","",TODAY()-$H203)</f>
        <v/>
      </c>
      <c r="L203" s="13" t="n"/>
      <c r="M203" s="11" t="n"/>
      <c r="N203" s="13" t="n"/>
      <c r="O203" s="11" t="n"/>
      <c r="P203" s="11" t="n"/>
      <c r="Q203" s="11" t="n"/>
      <c r="R203" s="12" t="n"/>
      <c r="S203" s="11" t="n"/>
    </row>
    <row r="204" ht="15" customHeight="1" s="21">
      <c r="A204" s="11" t="n"/>
      <c r="B204" s="11" t="n"/>
      <c r="C204" s="11" t="n"/>
      <c r="D204" s="12" t="n"/>
      <c r="E204" s="11" t="n"/>
      <c r="F204" s="11" t="n"/>
      <c r="G204" s="11" t="n"/>
      <c r="H204" s="13" t="n"/>
      <c r="I204" s="12" t="n"/>
      <c r="J204" s="12" t="n"/>
      <c r="K204" s="14">
        <f>IF($H204="","",TODAY()-$H204)</f>
        <v/>
      </c>
      <c r="L204" s="13" t="n"/>
      <c r="M204" s="11" t="n"/>
      <c r="N204" s="13" t="n"/>
      <c r="O204" s="11" t="n"/>
      <c r="P204" s="11" t="n"/>
      <c r="Q204" s="11" t="n"/>
      <c r="R204" s="12" t="n"/>
      <c r="S204" s="11" t="n"/>
    </row>
    <row r="205" ht="15" customHeight="1" s="21">
      <c r="A205" s="11" t="n"/>
      <c r="B205" s="11" t="n"/>
      <c r="C205" s="11" t="n"/>
      <c r="D205" s="12" t="n"/>
      <c r="E205" s="11" t="n"/>
      <c r="F205" s="11" t="n"/>
      <c r="G205" s="11" t="n"/>
      <c r="H205" s="13" t="n"/>
      <c r="I205" s="12" t="n"/>
      <c r="J205" s="12" t="n"/>
      <c r="K205" s="14">
        <f>IF($H205="","",TODAY()-$H205)</f>
        <v/>
      </c>
      <c r="L205" s="13" t="n"/>
      <c r="M205" s="11" t="n"/>
      <c r="N205" s="13" t="n"/>
      <c r="O205" s="11" t="n"/>
      <c r="P205" s="11" t="n"/>
      <c r="Q205" s="11" t="n"/>
      <c r="R205" s="12" t="n"/>
      <c r="S205" s="11" t="n"/>
    </row>
    <row r="206" ht="15" customHeight="1" s="21">
      <c r="A206" s="11" t="n"/>
      <c r="B206" s="11" t="n"/>
      <c r="C206" s="11" t="n"/>
      <c r="D206" s="12" t="n"/>
      <c r="E206" s="11" t="n"/>
      <c r="F206" s="11" t="n"/>
      <c r="G206" s="11" t="n"/>
      <c r="H206" s="13" t="n"/>
      <c r="I206" s="12" t="n"/>
      <c r="J206" s="12" t="n"/>
      <c r="K206" s="14">
        <f>IF($H206="","",TODAY()-$H206)</f>
        <v/>
      </c>
      <c r="L206" s="13" t="n"/>
      <c r="M206" s="11" t="n"/>
      <c r="N206" s="13" t="n"/>
      <c r="O206" s="11" t="n"/>
      <c r="P206" s="11" t="n"/>
      <c r="Q206" s="11" t="n"/>
      <c r="R206" s="12" t="n"/>
      <c r="S206" s="11" t="n"/>
    </row>
    <row r="207" ht="15" customHeight="1" s="21">
      <c r="A207" s="11" t="n"/>
      <c r="B207" s="11" t="n"/>
      <c r="C207" s="11" t="n"/>
      <c r="D207" s="12" t="n"/>
      <c r="E207" s="11" t="n"/>
      <c r="F207" s="11" t="n"/>
      <c r="G207" s="11" t="n"/>
      <c r="H207" s="13" t="n"/>
      <c r="I207" s="12" t="n"/>
      <c r="J207" s="12" t="n"/>
      <c r="K207" s="14">
        <f>IF($H207="","",TODAY()-$H207)</f>
        <v/>
      </c>
      <c r="L207" s="13" t="n"/>
      <c r="M207" s="11" t="n"/>
      <c r="N207" s="13" t="n"/>
      <c r="O207" s="11" t="n"/>
      <c r="P207" s="11" t="n"/>
      <c r="Q207" s="11" t="n"/>
      <c r="R207" s="12" t="n"/>
      <c r="S207" s="11" t="n"/>
    </row>
    <row r="208" ht="15" customHeight="1" s="21">
      <c r="A208" s="11" t="n"/>
      <c r="B208" s="11" t="n"/>
      <c r="C208" s="11" t="n"/>
      <c r="D208" s="12" t="n"/>
      <c r="E208" s="11" t="n"/>
      <c r="F208" s="11" t="n"/>
      <c r="G208" s="11" t="n"/>
      <c r="H208" s="13" t="n"/>
      <c r="I208" s="12" t="n"/>
      <c r="J208" s="12" t="n"/>
      <c r="K208" s="14">
        <f>IF($H208="","",TODAY()-$H208)</f>
        <v/>
      </c>
      <c r="L208" s="13" t="n"/>
      <c r="M208" s="11" t="n"/>
      <c r="N208" s="13" t="n"/>
      <c r="O208" s="11" t="n"/>
      <c r="P208" s="11" t="n"/>
      <c r="Q208" s="11" t="n"/>
      <c r="R208" s="12" t="n"/>
      <c r="S208" s="11" t="n"/>
    </row>
    <row r="209" ht="15" customHeight="1" s="21">
      <c r="A209" s="11" t="n"/>
      <c r="B209" s="11" t="n"/>
      <c r="C209" s="11" t="n"/>
      <c r="D209" s="12" t="n"/>
      <c r="E209" s="11" t="n"/>
      <c r="F209" s="11" t="n"/>
      <c r="G209" s="11" t="n"/>
      <c r="H209" s="13" t="n"/>
      <c r="I209" s="12" t="n"/>
      <c r="J209" s="12" t="n"/>
      <c r="K209" s="14">
        <f>IF($H209="","",TODAY()-$H209)</f>
        <v/>
      </c>
      <c r="L209" s="13" t="n"/>
      <c r="M209" s="11" t="n"/>
      <c r="N209" s="13" t="n"/>
      <c r="O209" s="11" t="n"/>
      <c r="P209" s="11" t="n"/>
      <c r="Q209" s="11" t="n"/>
      <c r="R209" s="12" t="n"/>
      <c r="S209" s="11" t="n"/>
    </row>
    <row r="210" ht="15" customHeight="1" s="21">
      <c r="A210" s="11" t="n"/>
      <c r="B210" s="11" t="n"/>
      <c r="C210" s="11" t="n"/>
      <c r="D210" s="12" t="n"/>
      <c r="E210" s="11" t="n"/>
      <c r="F210" s="11" t="n"/>
      <c r="G210" s="11" t="n"/>
      <c r="H210" s="13" t="n"/>
      <c r="I210" s="12" t="n"/>
      <c r="J210" s="12" t="n"/>
      <c r="K210" s="14">
        <f>IF($H210="","",TODAY()-$H210)</f>
        <v/>
      </c>
      <c r="L210" s="13" t="n"/>
      <c r="M210" s="11" t="n"/>
      <c r="N210" s="13" t="n"/>
      <c r="O210" s="11" t="n"/>
      <c r="P210" s="11" t="n"/>
      <c r="Q210" s="11" t="n"/>
      <c r="R210" s="12" t="n"/>
      <c r="S210" s="11" t="n"/>
    </row>
    <row r="211" ht="15" customHeight="1" s="21">
      <c r="A211" s="11" t="n"/>
      <c r="B211" s="11" t="n"/>
      <c r="C211" s="11" t="n"/>
      <c r="D211" s="12" t="n"/>
      <c r="E211" s="11" t="n"/>
      <c r="F211" s="11" t="n"/>
      <c r="G211" s="11" t="n"/>
      <c r="H211" s="13" t="n"/>
      <c r="I211" s="12" t="n"/>
      <c r="J211" s="12" t="n"/>
      <c r="K211" s="14">
        <f>IF($H211="","",TODAY()-$H211)</f>
        <v/>
      </c>
      <c r="L211" s="13" t="n"/>
      <c r="M211" s="11" t="n"/>
      <c r="N211" s="13" t="n"/>
      <c r="O211" s="11" t="n"/>
      <c r="P211" s="11" t="n"/>
      <c r="Q211" s="11" t="n"/>
      <c r="R211" s="12" t="n"/>
      <c r="S211" s="11" t="n"/>
    </row>
    <row r="212" ht="15" customHeight="1" s="21">
      <c r="A212" s="11" t="n"/>
      <c r="B212" s="11" t="n"/>
      <c r="C212" s="11" t="n"/>
      <c r="D212" s="12" t="n"/>
      <c r="E212" s="11" t="n"/>
      <c r="F212" s="11" t="n"/>
      <c r="G212" s="11" t="n"/>
      <c r="H212" s="13" t="n"/>
      <c r="I212" s="12" t="n"/>
      <c r="J212" s="12" t="n"/>
      <c r="K212" s="14">
        <f>IF($H212="","",TODAY()-$H212)</f>
        <v/>
      </c>
      <c r="L212" s="13" t="n"/>
      <c r="M212" s="11" t="n"/>
      <c r="N212" s="13" t="n"/>
      <c r="O212" s="11" t="n"/>
      <c r="P212" s="11" t="n"/>
      <c r="Q212" s="11" t="n"/>
      <c r="R212" s="12" t="n"/>
      <c r="S212" s="11" t="n"/>
    </row>
    <row r="213" ht="15" customHeight="1" s="21">
      <c r="A213" s="11" t="n"/>
      <c r="B213" s="11" t="n"/>
      <c r="C213" s="11" t="n"/>
      <c r="D213" s="12" t="n"/>
      <c r="E213" s="11" t="n"/>
      <c r="F213" s="11" t="n"/>
      <c r="G213" s="11" t="n"/>
      <c r="H213" s="13" t="n"/>
      <c r="I213" s="12" t="n"/>
      <c r="J213" s="12" t="n"/>
      <c r="K213" s="14">
        <f>IF($H213="","",TODAY()-$H213)</f>
        <v/>
      </c>
      <c r="L213" s="13" t="n"/>
      <c r="M213" s="11" t="n"/>
      <c r="N213" s="13" t="n"/>
      <c r="O213" s="11" t="n"/>
      <c r="P213" s="11" t="n"/>
      <c r="Q213" s="11" t="n"/>
      <c r="R213" s="12" t="n"/>
      <c r="S213" s="11" t="n"/>
    </row>
    <row r="214" ht="15" customHeight="1" s="21">
      <c r="A214" s="11" t="n"/>
      <c r="B214" s="11" t="n"/>
      <c r="C214" s="11" t="n"/>
      <c r="D214" s="12" t="n"/>
      <c r="E214" s="11" t="n"/>
      <c r="F214" s="11" t="n"/>
      <c r="G214" s="11" t="n"/>
      <c r="H214" s="13" t="n"/>
      <c r="I214" s="12" t="n"/>
      <c r="J214" s="12" t="n"/>
      <c r="K214" s="14">
        <f>IF($H214="","",TODAY()-$H214)</f>
        <v/>
      </c>
      <c r="L214" s="13" t="n"/>
      <c r="M214" s="11" t="n"/>
      <c r="N214" s="13" t="n"/>
      <c r="O214" s="11" t="n"/>
      <c r="P214" s="11" t="n"/>
      <c r="Q214" s="11" t="n"/>
      <c r="R214" s="12" t="n"/>
      <c r="S214" s="11" t="n"/>
    </row>
    <row r="215" ht="15" customHeight="1" s="21">
      <c r="A215" s="11" t="n"/>
      <c r="B215" s="11" t="n"/>
      <c r="C215" s="11" t="n"/>
      <c r="D215" s="12" t="n"/>
      <c r="E215" s="11" t="n"/>
      <c r="F215" s="11" t="n"/>
      <c r="G215" s="11" t="n"/>
      <c r="H215" s="13" t="n"/>
      <c r="I215" s="12" t="n"/>
      <c r="J215" s="12" t="n"/>
      <c r="K215" s="14">
        <f>IF($H215="","",TODAY()-$H215)</f>
        <v/>
      </c>
      <c r="L215" s="13" t="n"/>
      <c r="M215" s="11" t="n"/>
      <c r="N215" s="13" t="n"/>
      <c r="O215" s="11" t="n"/>
      <c r="P215" s="11" t="n"/>
      <c r="Q215" s="11" t="n"/>
      <c r="R215" s="12" t="n"/>
      <c r="S215" s="11" t="n"/>
    </row>
    <row r="216" ht="15" customHeight="1" s="21">
      <c r="A216" s="11" t="n"/>
      <c r="B216" s="11" t="n"/>
      <c r="C216" s="11" t="n"/>
      <c r="D216" s="12" t="n"/>
      <c r="E216" s="11" t="n"/>
      <c r="F216" s="11" t="n"/>
      <c r="G216" s="11" t="n"/>
      <c r="H216" s="13" t="n"/>
      <c r="I216" s="12" t="n"/>
      <c r="J216" s="12" t="n"/>
      <c r="K216" s="14">
        <f>IF($H216="","",TODAY()-$H216)</f>
        <v/>
      </c>
      <c r="L216" s="13" t="n"/>
      <c r="M216" s="11" t="n"/>
      <c r="N216" s="13" t="n"/>
      <c r="O216" s="11" t="n"/>
      <c r="P216" s="11" t="n"/>
      <c r="Q216" s="11" t="n"/>
      <c r="R216" s="12" t="n"/>
      <c r="S216" s="11" t="n"/>
    </row>
    <row r="217" ht="15" customHeight="1" s="21">
      <c r="A217" s="11" t="n"/>
      <c r="B217" s="11" t="n"/>
      <c r="C217" s="11" t="n"/>
      <c r="D217" s="12" t="n"/>
      <c r="E217" s="11" t="n"/>
      <c r="F217" s="11" t="n"/>
      <c r="G217" s="11" t="n"/>
      <c r="H217" s="13" t="n"/>
      <c r="I217" s="12" t="n"/>
      <c r="J217" s="12" t="n"/>
      <c r="K217" s="14">
        <f>IF($H217="","",TODAY()-$H217)</f>
        <v/>
      </c>
      <c r="L217" s="13" t="n"/>
      <c r="M217" s="11" t="n"/>
      <c r="N217" s="13" t="n"/>
      <c r="O217" s="11" t="n"/>
      <c r="P217" s="11" t="n"/>
      <c r="Q217" s="11" t="n"/>
      <c r="R217" s="12" t="n"/>
      <c r="S217" s="11" t="n"/>
    </row>
    <row r="218" ht="15" customHeight="1" s="21">
      <c r="A218" s="11" t="n"/>
      <c r="B218" s="11" t="n"/>
      <c r="C218" s="11" t="n"/>
      <c r="D218" s="12" t="n"/>
      <c r="E218" s="11" t="n"/>
      <c r="F218" s="11" t="n"/>
      <c r="G218" s="11" t="n"/>
      <c r="H218" s="13" t="n"/>
      <c r="I218" s="12" t="n"/>
      <c r="J218" s="12" t="n"/>
      <c r="K218" s="14">
        <f>IF($H218="","",TODAY()-$H218)</f>
        <v/>
      </c>
      <c r="L218" s="13" t="n"/>
      <c r="M218" s="11" t="n"/>
      <c r="N218" s="13" t="n"/>
      <c r="O218" s="11" t="n"/>
      <c r="P218" s="11" t="n"/>
      <c r="Q218" s="11" t="n"/>
      <c r="R218" s="12" t="n"/>
      <c r="S218" s="11" t="n"/>
    </row>
    <row r="219" ht="15" customHeight="1" s="21">
      <c r="A219" s="11" t="n"/>
      <c r="B219" s="11" t="n"/>
      <c r="C219" s="11" t="n"/>
      <c r="D219" s="12" t="n"/>
      <c r="E219" s="11" t="n"/>
      <c r="F219" s="11" t="n"/>
      <c r="G219" s="11" t="n"/>
      <c r="H219" s="13" t="n"/>
      <c r="I219" s="12" t="n"/>
      <c r="J219" s="12" t="n"/>
      <c r="K219" s="14">
        <f>IF($H219="","",TODAY()-$H219)</f>
        <v/>
      </c>
      <c r="L219" s="13" t="n"/>
      <c r="M219" s="11" t="n"/>
      <c r="N219" s="13" t="n"/>
      <c r="O219" s="11" t="n"/>
      <c r="P219" s="11" t="n"/>
      <c r="Q219" s="11" t="n"/>
      <c r="R219" s="12" t="n"/>
      <c r="S219" s="11" t="n"/>
    </row>
    <row r="220" ht="15" customHeight="1" s="21">
      <c r="A220" s="11" t="n"/>
      <c r="B220" s="11" t="n"/>
      <c r="C220" s="11" t="n"/>
      <c r="D220" s="12" t="n"/>
      <c r="E220" s="11" t="n"/>
      <c r="F220" s="11" t="n"/>
      <c r="G220" s="11" t="n"/>
      <c r="H220" s="13" t="n"/>
      <c r="I220" s="12" t="n"/>
      <c r="J220" s="12" t="n"/>
      <c r="K220" s="14">
        <f>IF($H220="","",TODAY()-$H220)</f>
        <v/>
      </c>
      <c r="L220" s="13" t="n"/>
      <c r="M220" s="11" t="n"/>
      <c r="N220" s="13" t="n"/>
      <c r="O220" s="11" t="n"/>
      <c r="P220" s="11" t="n"/>
      <c r="Q220" s="11" t="n"/>
      <c r="R220" s="12" t="n"/>
      <c r="S220" s="11" t="n"/>
    </row>
    <row r="221" ht="15" customHeight="1" s="21">
      <c r="A221" s="11" t="n"/>
      <c r="B221" s="11" t="n"/>
      <c r="C221" s="11" t="n"/>
      <c r="D221" s="12" t="n"/>
      <c r="E221" s="11" t="n"/>
      <c r="F221" s="11" t="n"/>
      <c r="G221" s="11" t="n"/>
      <c r="H221" s="13" t="n"/>
      <c r="I221" s="12" t="n"/>
      <c r="J221" s="12" t="n"/>
      <c r="K221" s="14">
        <f>IF($H221="","",TODAY()-$H221)</f>
        <v/>
      </c>
      <c r="L221" s="13" t="n"/>
      <c r="M221" s="11" t="n"/>
      <c r="N221" s="13" t="n"/>
      <c r="O221" s="11" t="n"/>
      <c r="P221" s="11" t="n"/>
      <c r="Q221" s="11" t="n"/>
      <c r="R221" s="12" t="n"/>
      <c r="S221" s="11" t="n"/>
    </row>
    <row r="222" ht="15" customHeight="1" s="21">
      <c r="A222" s="11" t="n"/>
      <c r="B222" s="11" t="n"/>
      <c r="C222" s="11" t="n"/>
      <c r="D222" s="12" t="n"/>
      <c r="E222" s="11" t="n"/>
      <c r="F222" s="11" t="n"/>
      <c r="G222" s="11" t="n"/>
      <c r="H222" s="13" t="n"/>
      <c r="I222" s="12" t="n"/>
      <c r="J222" s="12" t="n"/>
      <c r="K222" s="14">
        <f>IF($H222="","",TODAY()-$H222)</f>
        <v/>
      </c>
      <c r="L222" s="13" t="n"/>
      <c r="M222" s="11" t="n"/>
      <c r="N222" s="13" t="n"/>
      <c r="O222" s="11" t="n"/>
      <c r="P222" s="11" t="n"/>
      <c r="Q222" s="11" t="n"/>
      <c r="R222" s="12" t="n"/>
      <c r="S222" s="11" t="n"/>
    </row>
    <row r="223" ht="15" customHeight="1" s="21">
      <c r="A223" s="11" t="n"/>
      <c r="B223" s="11" t="n"/>
      <c r="C223" s="11" t="n"/>
      <c r="D223" s="12" t="n"/>
      <c r="E223" s="11" t="n"/>
      <c r="F223" s="11" t="n"/>
      <c r="G223" s="11" t="n"/>
      <c r="H223" s="13" t="n"/>
      <c r="I223" s="12" t="n"/>
      <c r="J223" s="12" t="n"/>
      <c r="K223" s="14">
        <f>IF($H223="","",TODAY()-$H223)</f>
        <v/>
      </c>
      <c r="L223" s="13" t="n"/>
      <c r="M223" s="11" t="n"/>
      <c r="N223" s="13" t="n"/>
      <c r="O223" s="11" t="n"/>
      <c r="P223" s="11" t="n"/>
      <c r="Q223" s="11" t="n"/>
      <c r="R223" s="12" t="n"/>
      <c r="S223" s="11" t="n"/>
    </row>
    <row r="224" ht="15" customHeight="1" s="21">
      <c r="A224" s="11" t="n"/>
      <c r="B224" s="11" t="n"/>
      <c r="C224" s="11" t="n"/>
      <c r="D224" s="12" t="n"/>
      <c r="E224" s="11" t="n"/>
      <c r="F224" s="11" t="n"/>
      <c r="G224" s="11" t="n"/>
      <c r="H224" s="13" t="n"/>
      <c r="I224" s="12" t="n"/>
      <c r="J224" s="12" t="n"/>
      <c r="K224" s="14">
        <f>IF($H224="","",TODAY()-$H224)</f>
        <v/>
      </c>
      <c r="L224" s="13" t="n"/>
      <c r="M224" s="11" t="n"/>
      <c r="N224" s="13" t="n"/>
      <c r="O224" s="11" t="n"/>
      <c r="P224" s="11" t="n"/>
      <c r="Q224" s="11" t="n"/>
      <c r="R224" s="12" t="n"/>
      <c r="S224" s="11" t="n"/>
    </row>
    <row r="225" ht="15" customHeight="1" s="21">
      <c r="A225" s="11" t="n"/>
      <c r="B225" s="11" t="n"/>
      <c r="C225" s="11" t="n"/>
      <c r="D225" s="12" t="n"/>
      <c r="E225" s="11" t="n"/>
      <c r="F225" s="11" t="n"/>
      <c r="G225" s="11" t="n"/>
      <c r="H225" s="13" t="n"/>
      <c r="I225" s="12" t="n"/>
      <c r="J225" s="12" t="n"/>
      <c r="K225" s="14">
        <f>IF($H225="","",TODAY()-$H225)</f>
        <v/>
      </c>
      <c r="L225" s="13" t="n"/>
      <c r="M225" s="11" t="n"/>
      <c r="N225" s="13" t="n"/>
      <c r="O225" s="11" t="n"/>
      <c r="P225" s="11" t="n"/>
      <c r="Q225" s="11" t="n"/>
      <c r="R225" s="12" t="n"/>
      <c r="S225" s="11" t="n"/>
    </row>
    <row r="226" ht="15" customHeight="1" s="21">
      <c r="A226" s="11" t="n"/>
      <c r="B226" s="11" t="n"/>
      <c r="C226" s="11" t="n"/>
      <c r="D226" s="12" t="n"/>
      <c r="E226" s="11" t="n"/>
      <c r="F226" s="11" t="n"/>
      <c r="G226" s="11" t="n"/>
      <c r="H226" s="13" t="n"/>
      <c r="I226" s="12" t="n"/>
      <c r="J226" s="12" t="n"/>
      <c r="K226" s="14">
        <f>IF($H226="","",TODAY()-$H226)</f>
        <v/>
      </c>
      <c r="L226" s="13" t="n"/>
      <c r="M226" s="11" t="n"/>
      <c r="N226" s="13" t="n"/>
      <c r="O226" s="11" t="n"/>
      <c r="P226" s="11" t="n"/>
      <c r="Q226" s="11" t="n"/>
      <c r="R226" s="12" t="n"/>
      <c r="S226" s="11" t="n"/>
    </row>
    <row r="227" ht="15" customHeight="1" s="21">
      <c r="A227" s="11" t="n"/>
      <c r="B227" s="11" t="n"/>
      <c r="C227" s="11" t="n"/>
      <c r="D227" s="12" t="n"/>
      <c r="E227" s="11" t="n"/>
      <c r="F227" s="11" t="n"/>
      <c r="G227" s="11" t="n"/>
      <c r="H227" s="13" t="n"/>
      <c r="I227" s="12" t="n"/>
      <c r="J227" s="12" t="n"/>
      <c r="K227" s="14">
        <f>IF($H227="","",TODAY()-$H227)</f>
        <v/>
      </c>
      <c r="L227" s="13" t="n"/>
      <c r="M227" s="11" t="n"/>
      <c r="N227" s="13" t="n"/>
      <c r="O227" s="11" t="n"/>
      <c r="P227" s="11" t="n"/>
      <c r="Q227" s="11" t="n"/>
      <c r="R227" s="12" t="n"/>
      <c r="S227" s="11" t="n"/>
    </row>
    <row r="228" ht="15" customHeight="1" s="21">
      <c r="A228" s="11" t="n"/>
      <c r="B228" s="11" t="n"/>
      <c r="C228" s="11" t="n"/>
      <c r="D228" s="12" t="n"/>
      <c r="E228" s="11" t="n"/>
      <c r="F228" s="11" t="n"/>
      <c r="G228" s="11" t="n"/>
      <c r="H228" s="13" t="n"/>
      <c r="I228" s="12" t="n"/>
      <c r="J228" s="12" t="n"/>
      <c r="K228" s="14">
        <f>IF($H228="","",TODAY()-$H228)</f>
        <v/>
      </c>
      <c r="L228" s="13" t="n"/>
      <c r="M228" s="11" t="n"/>
      <c r="N228" s="13" t="n"/>
      <c r="O228" s="11" t="n"/>
      <c r="P228" s="11" t="n"/>
      <c r="Q228" s="11" t="n"/>
      <c r="R228" s="12" t="n"/>
      <c r="S228" s="11" t="n"/>
    </row>
    <row r="229" ht="15" customHeight="1" s="21">
      <c r="A229" s="11" t="n"/>
      <c r="B229" s="11" t="n"/>
      <c r="C229" s="11" t="n"/>
      <c r="D229" s="12" t="n"/>
      <c r="E229" s="11" t="n"/>
      <c r="F229" s="11" t="n"/>
      <c r="G229" s="11" t="n"/>
      <c r="H229" s="13" t="n"/>
      <c r="I229" s="12" t="n"/>
      <c r="J229" s="12" t="n"/>
      <c r="K229" s="14">
        <f>IF($H229="","",TODAY()-$H229)</f>
        <v/>
      </c>
      <c r="L229" s="13" t="n"/>
      <c r="M229" s="11" t="n"/>
      <c r="N229" s="13" t="n"/>
      <c r="O229" s="11" t="n"/>
      <c r="P229" s="11" t="n"/>
      <c r="Q229" s="11" t="n"/>
      <c r="R229" s="12" t="n"/>
      <c r="S229" s="11" t="n"/>
    </row>
    <row r="230" ht="15" customHeight="1" s="21">
      <c r="A230" s="11" t="n"/>
      <c r="B230" s="11" t="n"/>
      <c r="C230" s="11" t="n"/>
      <c r="D230" s="12" t="n"/>
      <c r="E230" s="11" t="n"/>
      <c r="F230" s="11" t="n"/>
      <c r="G230" s="11" t="n"/>
      <c r="H230" s="13" t="n"/>
      <c r="I230" s="12" t="n"/>
      <c r="J230" s="12" t="n"/>
      <c r="K230" s="14">
        <f>IF($H230="","",TODAY()-$H230)</f>
        <v/>
      </c>
      <c r="L230" s="13" t="n"/>
      <c r="M230" s="11" t="n"/>
      <c r="N230" s="13" t="n"/>
      <c r="O230" s="11" t="n"/>
      <c r="P230" s="11" t="n"/>
      <c r="Q230" s="11" t="n"/>
      <c r="R230" s="12" t="n"/>
      <c r="S230" s="11" t="n"/>
    </row>
    <row r="231" ht="15" customHeight="1" s="21">
      <c r="A231" s="11" t="n"/>
      <c r="B231" s="11" t="n"/>
      <c r="C231" s="11" t="n"/>
      <c r="D231" s="12" t="n"/>
      <c r="E231" s="11" t="n"/>
      <c r="F231" s="11" t="n"/>
      <c r="G231" s="11" t="n"/>
      <c r="H231" s="13" t="n"/>
      <c r="I231" s="12" t="n"/>
      <c r="J231" s="12" t="n"/>
      <c r="K231" s="14">
        <f>IF($H231="","",TODAY()-$H231)</f>
        <v/>
      </c>
      <c r="L231" s="13" t="n"/>
      <c r="M231" s="11" t="n"/>
      <c r="N231" s="13" t="n"/>
      <c r="O231" s="11" t="n"/>
      <c r="P231" s="11" t="n"/>
      <c r="Q231" s="11" t="n"/>
      <c r="R231" s="12" t="n"/>
      <c r="S231" s="11" t="n"/>
    </row>
    <row r="232" ht="15" customHeight="1" s="21">
      <c r="A232" s="11" t="n"/>
      <c r="B232" s="11" t="n"/>
      <c r="C232" s="11" t="n"/>
      <c r="D232" s="12" t="n"/>
      <c r="E232" s="11" t="n"/>
      <c r="F232" s="11" t="n"/>
      <c r="G232" s="11" t="n"/>
      <c r="H232" s="13" t="n"/>
      <c r="I232" s="12" t="n"/>
      <c r="J232" s="12" t="n"/>
      <c r="K232" s="14">
        <f>IF($H232="","",TODAY()-$H232)</f>
        <v/>
      </c>
      <c r="L232" s="13" t="n"/>
      <c r="M232" s="11" t="n"/>
      <c r="N232" s="13" t="n"/>
      <c r="O232" s="11" t="n"/>
      <c r="P232" s="11" t="n"/>
      <c r="Q232" s="11" t="n"/>
      <c r="R232" s="12" t="n"/>
      <c r="S232" s="11" t="n"/>
    </row>
    <row r="233" ht="15" customHeight="1" s="21">
      <c r="A233" s="11" t="n"/>
      <c r="B233" s="11" t="n"/>
      <c r="C233" s="11" t="n"/>
      <c r="D233" s="12" t="n"/>
      <c r="E233" s="11" t="n"/>
      <c r="F233" s="11" t="n"/>
      <c r="G233" s="11" t="n"/>
      <c r="H233" s="13" t="n"/>
      <c r="I233" s="12" t="n"/>
      <c r="J233" s="12" t="n"/>
      <c r="K233" s="14">
        <f>IF($H233="","",TODAY()-$H233)</f>
        <v/>
      </c>
      <c r="L233" s="13" t="n"/>
      <c r="M233" s="11" t="n"/>
      <c r="N233" s="13" t="n"/>
      <c r="O233" s="11" t="n"/>
      <c r="P233" s="11" t="n"/>
      <c r="Q233" s="11" t="n"/>
      <c r="R233" s="12" t="n"/>
      <c r="S233" s="11" t="n"/>
    </row>
    <row r="234" ht="15" customHeight="1" s="21">
      <c r="A234" s="11" t="n"/>
      <c r="B234" s="11" t="n"/>
      <c r="C234" s="11" t="n"/>
      <c r="D234" s="12" t="n"/>
      <c r="E234" s="11" t="n"/>
      <c r="F234" s="11" t="n"/>
      <c r="G234" s="11" t="n"/>
      <c r="H234" s="13" t="n"/>
      <c r="I234" s="12" t="n"/>
      <c r="J234" s="12" t="n"/>
      <c r="K234" s="14">
        <f>IF($H234="","",TODAY()-$H234)</f>
        <v/>
      </c>
      <c r="L234" s="13" t="n"/>
      <c r="M234" s="11" t="n"/>
      <c r="N234" s="13" t="n"/>
      <c r="O234" s="11" t="n"/>
      <c r="P234" s="11" t="n"/>
      <c r="Q234" s="11" t="n"/>
      <c r="R234" s="12" t="n"/>
      <c r="S234" s="11" t="n"/>
    </row>
    <row r="235" ht="15" customHeight="1" s="21">
      <c r="A235" s="11" t="n"/>
      <c r="B235" s="11" t="n"/>
      <c r="C235" s="11" t="n"/>
      <c r="D235" s="12" t="n"/>
      <c r="E235" s="11" t="n"/>
      <c r="F235" s="11" t="n"/>
      <c r="G235" s="11" t="n"/>
      <c r="H235" s="13" t="n"/>
      <c r="I235" s="12" t="n"/>
      <c r="J235" s="12" t="n"/>
      <c r="K235" s="14">
        <f>IF($H235="","",TODAY()-$H235)</f>
        <v/>
      </c>
      <c r="L235" s="13" t="n"/>
      <c r="M235" s="11" t="n"/>
      <c r="N235" s="13" t="n"/>
      <c r="O235" s="11" t="n"/>
      <c r="P235" s="11" t="n"/>
      <c r="Q235" s="11" t="n"/>
      <c r="R235" s="12" t="n"/>
      <c r="S235" s="11" t="n"/>
    </row>
    <row r="236" ht="15" customHeight="1" s="21">
      <c r="A236" s="11" t="n"/>
      <c r="B236" s="11" t="n"/>
      <c r="C236" s="11" t="n"/>
      <c r="D236" s="12" t="n"/>
      <c r="E236" s="11" t="n"/>
      <c r="F236" s="11" t="n"/>
      <c r="G236" s="11" t="n"/>
      <c r="H236" s="13" t="n"/>
      <c r="I236" s="12" t="n"/>
      <c r="J236" s="12" t="n"/>
      <c r="K236" s="14">
        <f>IF($H236="","",TODAY()-$H236)</f>
        <v/>
      </c>
      <c r="L236" s="13" t="n"/>
      <c r="M236" s="11" t="n"/>
      <c r="N236" s="13" t="n"/>
      <c r="O236" s="11" t="n"/>
      <c r="P236" s="11" t="n"/>
      <c r="Q236" s="11" t="n"/>
      <c r="R236" s="12" t="n"/>
      <c r="S236" s="11" t="n"/>
    </row>
    <row r="237" ht="15" customHeight="1" s="21">
      <c r="A237" s="11" t="n"/>
      <c r="B237" s="11" t="n"/>
      <c r="C237" s="11" t="n"/>
      <c r="D237" s="12" t="n"/>
      <c r="E237" s="11" t="n"/>
      <c r="F237" s="11" t="n"/>
      <c r="G237" s="11" t="n"/>
      <c r="H237" s="13" t="n"/>
      <c r="I237" s="12" t="n"/>
      <c r="J237" s="12" t="n"/>
      <c r="K237" s="14">
        <f>IF($H237="","",TODAY()-$H237)</f>
        <v/>
      </c>
      <c r="L237" s="13" t="n"/>
      <c r="M237" s="11" t="n"/>
      <c r="N237" s="13" t="n"/>
      <c r="O237" s="11" t="n"/>
      <c r="P237" s="11" t="n"/>
      <c r="Q237" s="11" t="n"/>
      <c r="R237" s="12" t="n"/>
      <c r="S237" s="11" t="n"/>
    </row>
    <row r="238" ht="15" customHeight="1" s="21">
      <c r="A238" s="11" t="n"/>
      <c r="B238" s="11" t="n"/>
      <c r="C238" s="11" t="n"/>
      <c r="D238" s="12" t="n"/>
      <c r="E238" s="11" t="n"/>
      <c r="F238" s="11" t="n"/>
      <c r="G238" s="11" t="n"/>
      <c r="H238" s="13" t="n"/>
      <c r="I238" s="12" t="n"/>
      <c r="J238" s="12" t="n"/>
      <c r="K238" s="14">
        <f>IF($H238="","",TODAY()-$H238)</f>
        <v/>
      </c>
      <c r="L238" s="13" t="n"/>
      <c r="M238" s="11" t="n"/>
      <c r="N238" s="13" t="n"/>
      <c r="O238" s="11" t="n"/>
      <c r="P238" s="11" t="n"/>
      <c r="Q238" s="11" t="n"/>
      <c r="R238" s="12" t="n"/>
      <c r="S238" s="11" t="n"/>
    </row>
    <row r="239" ht="15" customHeight="1" s="21">
      <c r="A239" s="11" t="n"/>
      <c r="B239" s="11" t="n"/>
      <c r="C239" s="11" t="n"/>
      <c r="D239" s="12" t="n"/>
      <c r="E239" s="11" t="n"/>
      <c r="F239" s="11" t="n"/>
      <c r="G239" s="11" t="n"/>
      <c r="H239" s="13" t="n"/>
      <c r="I239" s="12" t="n"/>
      <c r="J239" s="12" t="n"/>
      <c r="K239" s="14">
        <f>IF($H239="","",TODAY()-$H239)</f>
        <v/>
      </c>
      <c r="L239" s="13" t="n"/>
      <c r="M239" s="11" t="n"/>
      <c r="N239" s="13" t="n"/>
      <c r="O239" s="11" t="n"/>
      <c r="P239" s="11" t="n"/>
      <c r="Q239" s="11" t="n"/>
      <c r="R239" s="12" t="n"/>
      <c r="S239" s="11" t="n"/>
    </row>
    <row r="240" ht="15" customHeight="1" s="21">
      <c r="A240" s="11" t="n"/>
      <c r="B240" s="11" t="n"/>
      <c r="C240" s="11" t="n"/>
      <c r="D240" s="12" t="n"/>
      <c r="E240" s="11" t="n"/>
      <c r="F240" s="11" t="n"/>
      <c r="G240" s="11" t="n"/>
      <c r="H240" s="13" t="n"/>
      <c r="I240" s="12" t="n"/>
      <c r="J240" s="12" t="n"/>
      <c r="K240" s="14">
        <f>IF($H240="","",TODAY()-$H240)</f>
        <v/>
      </c>
      <c r="L240" s="13" t="n"/>
      <c r="M240" s="11" t="n"/>
      <c r="N240" s="13" t="n"/>
      <c r="O240" s="11" t="n"/>
      <c r="P240" s="11" t="n"/>
      <c r="Q240" s="11" t="n"/>
      <c r="R240" s="12" t="n"/>
      <c r="S240" s="11" t="n"/>
    </row>
    <row r="241" ht="15" customHeight="1" s="21">
      <c r="A241" s="11" t="n"/>
      <c r="B241" s="11" t="n"/>
      <c r="C241" s="11" t="n"/>
      <c r="D241" s="12" t="n"/>
      <c r="E241" s="11" t="n"/>
      <c r="F241" s="11" t="n"/>
      <c r="G241" s="11" t="n"/>
      <c r="H241" s="13" t="n"/>
      <c r="I241" s="12" t="n"/>
      <c r="J241" s="12" t="n"/>
      <c r="K241" s="14">
        <f>IF($H241="","",TODAY()-$H241)</f>
        <v/>
      </c>
      <c r="L241" s="13" t="n"/>
      <c r="M241" s="11" t="n"/>
      <c r="N241" s="13" t="n"/>
      <c r="O241" s="11" t="n"/>
      <c r="P241" s="11" t="n"/>
      <c r="Q241" s="11" t="n"/>
      <c r="R241" s="12" t="n"/>
      <c r="S241" s="11" t="n"/>
    </row>
    <row r="242" ht="15" customHeight="1" s="21">
      <c r="A242" s="11" t="n"/>
      <c r="B242" s="11" t="n"/>
      <c r="C242" s="11" t="n"/>
      <c r="D242" s="12" t="n"/>
      <c r="E242" s="11" t="n"/>
      <c r="F242" s="11" t="n"/>
      <c r="G242" s="11" t="n"/>
      <c r="H242" s="13" t="n"/>
      <c r="I242" s="12" t="n"/>
      <c r="J242" s="12" t="n"/>
      <c r="K242" s="14">
        <f>IF($H242="","",TODAY()-$H242)</f>
        <v/>
      </c>
      <c r="L242" s="13" t="n"/>
      <c r="M242" s="11" t="n"/>
      <c r="N242" s="13" t="n"/>
      <c r="O242" s="11" t="n"/>
      <c r="P242" s="11" t="n"/>
      <c r="Q242" s="11" t="n"/>
      <c r="R242" s="12" t="n"/>
      <c r="S242" s="11" t="n"/>
    </row>
    <row r="243" ht="15" customHeight="1" s="21">
      <c r="A243" s="11" t="n"/>
      <c r="B243" s="11" t="n"/>
      <c r="C243" s="11" t="n"/>
      <c r="D243" s="12" t="n"/>
      <c r="E243" s="11" t="n"/>
      <c r="F243" s="11" t="n"/>
      <c r="G243" s="11" t="n"/>
      <c r="H243" s="13" t="n"/>
      <c r="I243" s="12" t="n"/>
      <c r="J243" s="12" t="n"/>
      <c r="K243" s="14">
        <f>IF($H243="","",TODAY()-$H243)</f>
        <v/>
      </c>
      <c r="L243" s="13" t="n"/>
      <c r="M243" s="11" t="n"/>
      <c r="N243" s="13" t="n"/>
      <c r="O243" s="11" t="n"/>
      <c r="P243" s="11" t="n"/>
      <c r="Q243" s="11" t="n"/>
      <c r="R243" s="12" t="n"/>
      <c r="S243" s="11" t="n"/>
    </row>
    <row r="244" ht="15" customHeight="1" s="21">
      <c r="A244" s="11" t="n"/>
      <c r="B244" s="11" t="n"/>
      <c r="C244" s="11" t="n"/>
      <c r="D244" s="12" t="n"/>
      <c r="E244" s="11" t="n"/>
      <c r="F244" s="11" t="n"/>
      <c r="G244" s="11" t="n"/>
      <c r="H244" s="13" t="n"/>
      <c r="I244" s="12" t="n"/>
      <c r="J244" s="12" t="n"/>
      <c r="K244" s="14">
        <f>IF($H244="","",TODAY()-$H244)</f>
        <v/>
      </c>
      <c r="L244" s="13" t="n"/>
      <c r="M244" s="11" t="n"/>
      <c r="N244" s="13" t="n"/>
      <c r="O244" s="11" t="n"/>
      <c r="P244" s="11" t="n"/>
      <c r="Q244" s="11" t="n"/>
      <c r="R244" s="12" t="n"/>
      <c r="S244" s="11" t="n"/>
    </row>
    <row r="245" ht="15" customHeight="1" s="21">
      <c r="A245" s="11" t="n"/>
      <c r="B245" s="11" t="n"/>
      <c r="C245" s="11" t="n"/>
      <c r="D245" s="12" t="n"/>
      <c r="E245" s="11" t="n"/>
      <c r="F245" s="11" t="n"/>
      <c r="G245" s="11" t="n"/>
      <c r="H245" s="13" t="n"/>
      <c r="I245" s="12" t="n"/>
      <c r="J245" s="12" t="n"/>
      <c r="K245" s="14">
        <f>IF($H245="","",TODAY()-$H245)</f>
        <v/>
      </c>
      <c r="L245" s="13" t="n"/>
      <c r="M245" s="11" t="n"/>
      <c r="N245" s="13" t="n"/>
      <c r="O245" s="11" t="n"/>
      <c r="P245" s="11" t="n"/>
      <c r="Q245" s="11" t="n"/>
      <c r="R245" s="12" t="n"/>
      <c r="S245" s="11" t="n"/>
    </row>
    <row r="246" ht="15" customHeight="1" s="21">
      <c r="A246" s="11" t="n"/>
      <c r="B246" s="11" t="n"/>
      <c r="C246" s="11" t="n"/>
      <c r="D246" s="12" t="n"/>
      <c r="E246" s="11" t="n"/>
      <c r="F246" s="11" t="n"/>
      <c r="G246" s="11" t="n"/>
      <c r="H246" s="13" t="n"/>
      <c r="I246" s="12" t="n"/>
      <c r="J246" s="12" t="n"/>
      <c r="K246" s="14">
        <f>IF($H246="","",TODAY()-$H246)</f>
        <v/>
      </c>
      <c r="L246" s="13" t="n"/>
      <c r="M246" s="11" t="n"/>
      <c r="N246" s="13" t="n"/>
      <c r="O246" s="11" t="n"/>
      <c r="P246" s="11" t="n"/>
      <c r="Q246" s="11" t="n"/>
      <c r="R246" s="12" t="n"/>
      <c r="S246" s="11" t="n"/>
    </row>
    <row r="247" ht="15" customHeight="1" s="21">
      <c r="A247" s="11" t="n"/>
      <c r="B247" s="11" t="n"/>
      <c r="C247" s="11" t="n"/>
      <c r="D247" s="12" t="n"/>
      <c r="E247" s="11" t="n"/>
      <c r="F247" s="11" t="n"/>
      <c r="G247" s="11" t="n"/>
      <c r="H247" s="13" t="n"/>
      <c r="I247" s="12" t="n"/>
      <c r="J247" s="12" t="n"/>
      <c r="K247" s="14">
        <f>IF($H247="","",TODAY()-$H247)</f>
        <v/>
      </c>
      <c r="L247" s="13" t="n"/>
      <c r="M247" s="11" t="n"/>
      <c r="N247" s="13" t="n"/>
      <c r="O247" s="11" t="n"/>
      <c r="P247" s="11" t="n"/>
      <c r="Q247" s="11" t="n"/>
      <c r="R247" s="12" t="n"/>
      <c r="S247" s="11" t="n"/>
    </row>
    <row r="248" ht="15" customHeight="1" s="21">
      <c r="A248" s="11" t="n"/>
      <c r="B248" s="11" t="n"/>
      <c r="C248" s="11" t="n"/>
      <c r="D248" s="12" t="n"/>
      <c r="E248" s="11" t="n"/>
      <c r="F248" s="11" t="n"/>
      <c r="G248" s="11" t="n"/>
      <c r="H248" s="13" t="n"/>
      <c r="I248" s="12" t="n"/>
      <c r="J248" s="12" t="n"/>
      <c r="K248" s="14">
        <f>IF($H248="","",TODAY()-$H248)</f>
        <v/>
      </c>
      <c r="L248" s="13" t="n"/>
      <c r="M248" s="11" t="n"/>
      <c r="N248" s="13" t="n"/>
      <c r="O248" s="11" t="n"/>
      <c r="P248" s="11" t="n"/>
      <c r="Q248" s="11" t="n"/>
      <c r="R248" s="12" t="n"/>
      <c r="S248" s="11" t="n"/>
    </row>
    <row r="249" ht="15" customHeight="1" s="21">
      <c r="A249" s="11" t="n"/>
      <c r="B249" s="11" t="n"/>
      <c r="C249" s="11" t="n"/>
      <c r="D249" s="12" t="n"/>
      <c r="E249" s="11" t="n"/>
      <c r="F249" s="11" t="n"/>
      <c r="G249" s="11" t="n"/>
      <c r="H249" s="13" t="n"/>
      <c r="I249" s="12" t="n"/>
      <c r="J249" s="12" t="n"/>
      <c r="K249" s="14">
        <f>IF($H249="","",TODAY()-$H249)</f>
        <v/>
      </c>
      <c r="L249" s="13" t="n"/>
      <c r="M249" s="11" t="n"/>
      <c r="N249" s="13" t="n"/>
      <c r="O249" s="11" t="n"/>
      <c r="P249" s="11" t="n"/>
      <c r="Q249" s="11" t="n"/>
      <c r="R249" s="12" t="n"/>
      <c r="S249" s="11" t="n"/>
    </row>
    <row r="250" ht="15" customHeight="1" s="21">
      <c r="A250" s="11" t="n"/>
      <c r="B250" s="11" t="n"/>
      <c r="C250" s="11" t="n"/>
      <c r="D250" s="12" t="n"/>
      <c r="E250" s="11" t="n"/>
      <c r="F250" s="11" t="n"/>
      <c r="G250" s="11" t="n"/>
      <c r="H250" s="13" t="n"/>
      <c r="I250" s="12" t="n"/>
      <c r="J250" s="12" t="n"/>
      <c r="K250" s="14">
        <f>IF($H250="","",TODAY()-$H250)</f>
        <v/>
      </c>
      <c r="L250" s="13" t="n"/>
      <c r="M250" s="11" t="n"/>
      <c r="N250" s="13" t="n"/>
      <c r="O250" s="11" t="n"/>
      <c r="P250" s="11" t="n"/>
      <c r="Q250" s="11" t="n"/>
      <c r="R250" s="12" t="n"/>
      <c r="S250" s="11" t="n"/>
    </row>
    <row r="251" ht="15" customHeight="1" s="21">
      <c r="A251" s="11" t="n"/>
      <c r="B251" s="11" t="n"/>
      <c r="C251" s="11" t="n"/>
      <c r="D251" s="12" t="n"/>
      <c r="E251" s="11" t="n"/>
      <c r="F251" s="11" t="n"/>
      <c r="G251" s="11" t="n"/>
      <c r="H251" s="13" t="n"/>
      <c r="I251" s="12" t="n"/>
      <c r="J251" s="12" t="n"/>
      <c r="K251" s="14">
        <f>IF($H251="","",TODAY()-$H251)</f>
        <v/>
      </c>
      <c r="L251" s="13" t="n"/>
      <c r="M251" s="11" t="n"/>
      <c r="N251" s="13" t="n"/>
      <c r="O251" s="11" t="n"/>
      <c r="P251" s="11" t="n"/>
      <c r="Q251" s="11" t="n"/>
      <c r="R251" s="12" t="n"/>
      <c r="S251" s="11" t="n"/>
    </row>
    <row r="252" ht="15" customHeight="1" s="21">
      <c r="A252" s="11" t="n"/>
      <c r="B252" s="11" t="n"/>
      <c r="C252" s="11" t="n"/>
      <c r="D252" s="12" t="n"/>
      <c r="E252" s="11" t="n"/>
      <c r="F252" s="11" t="n"/>
      <c r="G252" s="11" t="n"/>
      <c r="H252" s="13" t="n"/>
      <c r="I252" s="12" t="n"/>
      <c r="J252" s="12" t="n"/>
      <c r="K252" s="14">
        <f>IF($H252="","",TODAY()-$H252)</f>
        <v/>
      </c>
      <c r="L252" s="13" t="n"/>
      <c r="M252" s="11" t="n"/>
      <c r="N252" s="13" t="n"/>
      <c r="O252" s="11" t="n"/>
      <c r="P252" s="11" t="n"/>
      <c r="Q252" s="11" t="n"/>
      <c r="R252" s="12" t="n"/>
      <c r="S252" s="11" t="n"/>
    </row>
    <row r="253" ht="15" customHeight="1" s="21">
      <c r="A253" s="11" t="n"/>
      <c r="B253" s="11" t="n"/>
      <c r="C253" s="11" t="n"/>
      <c r="D253" s="12" t="n"/>
      <c r="E253" s="11" t="n"/>
      <c r="F253" s="11" t="n"/>
      <c r="G253" s="11" t="n"/>
      <c r="H253" s="13" t="n"/>
      <c r="I253" s="12" t="n"/>
      <c r="J253" s="12" t="n"/>
      <c r="K253" s="14">
        <f>IF($H253="","",TODAY()-$H253)</f>
        <v/>
      </c>
      <c r="L253" s="13" t="n"/>
      <c r="M253" s="11" t="n"/>
      <c r="N253" s="13" t="n"/>
      <c r="O253" s="11" t="n"/>
      <c r="P253" s="11" t="n"/>
      <c r="Q253" s="11" t="n"/>
      <c r="R253" s="12" t="n"/>
      <c r="S253" s="11" t="n"/>
    </row>
    <row r="254" ht="15" customHeight="1" s="21">
      <c r="A254" s="11" t="n"/>
      <c r="B254" s="11" t="n"/>
      <c r="C254" s="11" t="n"/>
      <c r="D254" s="12" t="n"/>
      <c r="E254" s="11" t="n"/>
      <c r="F254" s="11" t="n"/>
      <c r="G254" s="11" t="n"/>
      <c r="H254" s="13" t="n"/>
      <c r="I254" s="12" t="n"/>
      <c r="J254" s="12" t="n"/>
      <c r="K254" s="14">
        <f>IF($H254="","",TODAY()-$H254)</f>
        <v/>
      </c>
      <c r="L254" s="13" t="n"/>
      <c r="M254" s="11" t="n"/>
      <c r="N254" s="13" t="n"/>
      <c r="O254" s="11" t="n"/>
      <c r="P254" s="11" t="n"/>
      <c r="Q254" s="11" t="n"/>
      <c r="R254" s="12" t="n"/>
      <c r="S254" s="11" t="n"/>
    </row>
    <row r="255" ht="15" customHeight="1" s="21">
      <c r="A255" s="11" t="n"/>
      <c r="B255" s="11" t="n"/>
      <c r="C255" s="11" t="n"/>
      <c r="D255" s="12" t="n"/>
      <c r="E255" s="11" t="n"/>
      <c r="F255" s="11" t="n"/>
      <c r="G255" s="11" t="n"/>
      <c r="H255" s="13" t="n"/>
      <c r="I255" s="12" t="n"/>
      <c r="J255" s="12" t="n"/>
      <c r="K255" s="14">
        <f>IF($H255="","",TODAY()-$H255)</f>
        <v/>
      </c>
      <c r="L255" s="13" t="n"/>
      <c r="M255" s="11" t="n"/>
      <c r="N255" s="13" t="n"/>
      <c r="O255" s="11" t="n"/>
      <c r="P255" s="11" t="n"/>
      <c r="Q255" s="11" t="n"/>
      <c r="R255" s="12" t="n"/>
      <c r="S255" s="11" t="n"/>
    </row>
    <row r="256" ht="15" customHeight="1" s="21">
      <c r="A256" s="11" t="n"/>
      <c r="B256" s="11" t="n"/>
      <c r="C256" s="11" t="n"/>
      <c r="D256" s="12" t="n"/>
      <c r="E256" s="11" t="n"/>
      <c r="F256" s="11" t="n"/>
      <c r="G256" s="11" t="n"/>
      <c r="H256" s="13" t="n"/>
      <c r="I256" s="12" t="n"/>
      <c r="J256" s="12" t="n"/>
      <c r="K256" s="14">
        <f>IF($H256="","",TODAY()-$H256)</f>
        <v/>
      </c>
      <c r="L256" s="13" t="n"/>
      <c r="M256" s="11" t="n"/>
      <c r="N256" s="13" t="n"/>
      <c r="O256" s="11" t="n"/>
      <c r="P256" s="11" t="n"/>
      <c r="Q256" s="11" t="n"/>
      <c r="R256" s="12" t="n"/>
      <c r="S256" s="11" t="n"/>
    </row>
    <row r="257" ht="15" customHeight="1" s="21">
      <c r="A257" s="11" t="n"/>
      <c r="B257" s="11" t="n"/>
      <c r="C257" s="11" t="n"/>
      <c r="D257" s="12" t="n"/>
      <c r="E257" s="11" t="n"/>
      <c r="F257" s="11" t="n"/>
      <c r="G257" s="11" t="n"/>
      <c r="H257" s="13" t="n"/>
      <c r="I257" s="12" t="n"/>
      <c r="J257" s="12" t="n"/>
      <c r="K257" s="14">
        <f>IF($H257="","",TODAY()-$H257)</f>
        <v/>
      </c>
      <c r="L257" s="13" t="n"/>
      <c r="M257" s="11" t="n"/>
      <c r="N257" s="13" t="n"/>
      <c r="O257" s="11" t="n"/>
      <c r="P257" s="11" t="n"/>
      <c r="Q257" s="11" t="n"/>
      <c r="R257" s="12" t="n"/>
      <c r="S257" s="11" t="n"/>
    </row>
    <row r="258" ht="15" customHeight="1" s="21">
      <c r="A258" s="11" t="n"/>
      <c r="B258" s="11" t="n"/>
      <c r="C258" s="11" t="n"/>
      <c r="D258" s="12" t="n"/>
      <c r="E258" s="11" t="n"/>
      <c r="F258" s="11" t="n"/>
      <c r="G258" s="11" t="n"/>
      <c r="H258" s="13" t="n"/>
      <c r="I258" s="12" t="n"/>
      <c r="J258" s="12" t="n"/>
      <c r="K258" s="14">
        <f>IF($H258="","",TODAY()-$H258)</f>
        <v/>
      </c>
      <c r="L258" s="13" t="n"/>
      <c r="M258" s="11" t="n"/>
      <c r="N258" s="13" t="n"/>
      <c r="O258" s="11" t="n"/>
      <c r="P258" s="11" t="n"/>
      <c r="Q258" s="11" t="n"/>
      <c r="R258" s="12" t="n"/>
      <c r="S258" s="11" t="n"/>
    </row>
    <row r="259" ht="15" customHeight="1" s="21">
      <c r="A259" s="11" t="n"/>
      <c r="B259" s="11" t="n"/>
      <c r="C259" s="11" t="n"/>
      <c r="D259" s="12" t="n"/>
      <c r="E259" s="11" t="n"/>
      <c r="F259" s="11" t="n"/>
      <c r="G259" s="11" t="n"/>
      <c r="H259" s="13" t="n"/>
      <c r="I259" s="12" t="n"/>
      <c r="J259" s="12" t="n"/>
      <c r="K259" s="14">
        <f>IF($H259="","",TODAY()-$H259)</f>
        <v/>
      </c>
      <c r="L259" s="13" t="n"/>
      <c r="M259" s="11" t="n"/>
      <c r="N259" s="13" t="n"/>
      <c r="O259" s="11" t="n"/>
      <c r="P259" s="11" t="n"/>
      <c r="Q259" s="11" t="n"/>
      <c r="R259" s="12" t="n"/>
      <c r="S259" s="11" t="n"/>
    </row>
    <row r="260" ht="15" customHeight="1" s="21">
      <c r="A260" s="11" t="n"/>
      <c r="B260" s="11" t="n"/>
      <c r="C260" s="11" t="n"/>
      <c r="D260" s="12" t="n"/>
      <c r="E260" s="11" t="n"/>
      <c r="F260" s="11" t="n"/>
      <c r="G260" s="11" t="n"/>
      <c r="H260" s="13" t="n"/>
      <c r="I260" s="12" t="n"/>
      <c r="J260" s="12" t="n"/>
      <c r="K260" s="14">
        <f>IF($H260="","",TODAY()-$H260)</f>
        <v/>
      </c>
      <c r="L260" s="13" t="n"/>
      <c r="M260" s="11" t="n"/>
      <c r="N260" s="13" t="n"/>
      <c r="O260" s="11" t="n"/>
      <c r="P260" s="11" t="n"/>
      <c r="Q260" s="11" t="n"/>
      <c r="R260" s="12" t="n"/>
      <c r="S260" s="11" t="n"/>
    </row>
    <row r="261" ht="15" customHeight="1" s="21">
      <c r="A261" s="11" t="n"/>
      <c r="B261" s="11" t="n"/>
      <c r="C261" s="11" t="n"/>
      <c r="D261" s="12" t="n"/>
      <c r="E261" s="11" t="n"/>
      <c r="F261" s="11" t="n"/>
      <c r="G261" s="11" t="n"/>
      <c r="H261" s="13" t="n"/>
      <c r="I261" s="12" t="n"/>
      <c r="J261" s="12" t="n"/>
      <c r="K261" s="14">
        <f>IF($H261="","",TODAY()-$H261)</f>
        <v/>
      </c>
      <c r="L261" s="13" t="n"/>
      <c r="M261" s="11" t="n"/>
      <c r="N261" s="13" t="n"/>
      <c r="O261" s="11" t="n"/>
      <c r="P261" s="11" t="n"/>
      <c r="Q261" s="11" t="n"/>
      <c r="R261" s="12" t="n"/>
      <c r="S261" s="11" t="n"/>
    </row>
    <row r="262" ht="15" customHeight="1" s="21">
      <c r="A262" s="11" t="n"/>
      <c r="B262" s="11" t="n"/>
      <c r="C262" s="11" t="n"/>
      <c r="D262" s="12" t="n"/>
      <c r="E262" s="11" t="n"/>
      <c r="F262" s="11" t="n"/>
      <c r="G262" s="11" t="n"/>
      <c r="H262" s="13" t="n"/>
      <c r="I262" s="12" t="n"/>
      <c r="J262" s="12" t="n"/>
      <c r="K262" s="14">
        <f>IF($H262="","",TODAY()-$H262)</f>
        <v/>
      </c>
      <c r="L262" s="13" t="n"/>
      <c r="M262" s="11" t="n"/>
      <c r="N262" s="13" t="n"/>
      <c r="O262" s="11" t="n"/>
      <c r="P262" s="11" t="n"/>
      <c r="Q262" s="11" t="n"/>
      <c r="R262" s="12" t="n"/>
      <c r="S262" s="11" t="n"/>
    </row>
    <row r="263" ht="15" customHeight="1" s="21">
      <c r="A263" s="11" t="n"/>
      <c r="B263" s="11" t="n"/>
      <c r="C263" s="11" t="n"/>
      <c r="D263" s="12" t="n"/>
      <c r="E263" s="11" t="n"/>
      <c r="F263" s="11" t="n"/>
      <c r="G263" s="11" t="n"/>
      <c r="H263" s="13" t="n"/>
      <c r="I263" s="12" t="n"/>
      <c r="J263" s="12" t="n"/>
      <c r="K263" s="14">
        <f>IF($H263="","",TODAY()-$H263)</f>
        <v/>
      </c>
      <c r="L263" s="13" t="n"/>
      <c r="M263" s="11" t="n"/>
      <c r="N263" s="13" t="n"/>
      <c r="O263" s="11" t="n"/>
      <c r="P263" s="11" t="n"/>
      <c r="Q263" s="11" t="n"/>
      <c r="R263" s="12" t="n"/>
      <c r="S263" s="11" t="n"/>
    </row>
    <row r="264" ht="15" customHeight="1" s="21">
      <c r="A264" s="11" t="n"/>
      <c r="B264" s="11" t="n"/>
      <c r="C264" s="11" t="n"/>
      <c r="D264" s="12" t="n"/>
      <c r="E264" s="11" t="n"/>
      <c r="F264" s="11" t="n"/>
      <c r="G264" s="11" t="n"/>
      <c r="H264" s="13" t="n"/>
      <c r="I264" s="12" t="n"/>
      <c r="J264" s="12" t="n"/>
      <c r="K264" s="14">
        <f>IF($H264="","",TODAY()-$H264)</f>
        <v/>
      </c>
      <c r="L264" s="13" t="n"/>
      <c r="M264" s="11" t="n"/>
      <c r="N264" s="13" t="n"/>
      <c r="O264" s="11" t="n"/>
      <c r="P264" s="11" t="n"/>
      <c r="Q264" s="11" t="n"/>
      <c r="R264" s="12" t="n"/>
      <c r="S264" s="11" t="n"/>
    </row>
    <row r="265" ht="15" customHeight="1" s="21">
      <c r="A265" s="11" t="n"/>
      <c r="B265" s="11" t="n"/>
      <c r="C265" s="11" t="n"/>
      <c r="D265" s="12" t="n"/>
      <c r="E265" s="11" t="n"/>
      <c r="F265" s="11" t="n"/>
      <c r="G265" s="11" t="n"/>
      <c r="H265" s="13" t="n"/>
      <c r="I265" s="12" t="n"/>
      <c r="J265" s="12" t="n"/>
      <c r="K265" s="14">
        <f>IF($H265="","",TODAY()-$H265)</f>
        <v/>
      </c>
      <c r="L265" s="13" t="n"/>
      <c r="M265" s="11" t="n"/>
      <c r="N265" s="13" t="n"/>
      <c r="O265" s="11" t="n"/>
      <c r="P265" s="11" t="n"/>
      <c r="Q265" s="11" t="n"/>
      <c r="R265" s="12" t="n"/>
      <c r="S265" s="11" t="n"/>
    </row>
    <row r="266" ht="15" customHeight="1" s="21">
      <c r="A266" s="11" t="n"/>
      <c r="B266" s="11" t="n"/>
      <c r="C266" s="11" t="n"/>
      <c r="D266" s="12" t="n"/>
      <c r="E266" s="11" t="n"/>
      <c r="F266" s="11" t="n"/>
      <c r="G266" s="11" t="n"/>
      <c r="H266" s="13" t="n"/>
      <c r="I266" s="12" t="n"/>
      <c r="J266" s="12" t="n"/>
      <c r="K266" s="14">
        <f>IF($H266="","",TODAY()-$H266)</f>
        <v/>
      </c>
      <c r="L266" s="13" t="n"/>
      <c r="M266" s="11" t="n"/>
      <c r="N266" s="13" t="n"/>
      <c r="O266" s="11" t="n"/>
      <c r="P266" s="11" t="n"/>
      <c r="Q266" s="11" t="n"/>
      <c r="R266" s="12" t="n"/>
      <c r="S266" s="11" t="n"/>
    </row>
    <row r="267" ht="15" customHeight="1" s="21">
      <c r="A267" s="11" t="n"/>
      <c r="B267" s="11" t="n"/>
      <c r="C267" s="11" t="n"/>
      <c r="D267" s="12" t="n"/>
      <c r="E267" s="11" t="n"/>
      <c r="F267" s="11" t="n"/>
      <c r="G267" s="11" t="n"/>
      <c r="H267" s="13" t="n"/>
      <c r="I267" s="12" t="n"/>
      <c r="J267" s="12" t="n"/>
      <c r="K267" s="14">
        <f>IF($H267="","",TODAY()-$H267)</f>
        <v/>
      </c>
      <c r="L267" s="13" t="n"/>
      <c r="M267" s="11" t="n"/>
      <c r="N267" s="13" t="n"/>
      <c r="O267" s="11" t="n"/>
      <c r="P267" s="11" t="n"/>
      <c r="Q267" s="11" t="n"/>
      <c r="R267" s="12" t="n"/>
      <c r="S267" s="11" t="n"/>
    </row>
    <row r="268" ht="15" customHeight="1" s="21">
      <c r="A268" s="11" t="n"/>
      <c r="B268" s="11" t="n"/>
      <c r="C268" s="11" t="n"/>
      <c r="D268" s="12" t="n"/>
      <c r="E268" s="11" t="n"/>
      <c r="F268" s="11" t="n"/>
      <c r="G268" s="11" t="n"/>
      <c r="H268" s="13" t="n"/>
      <c r="I268" s="12" t="n"/>
      <c r="J268" s="12" t="n"/>
      <c r="K268" s="14">
        <f>IF($H268="","",TODAY()-$H268)</f>
        <v/>
      </c>
      <c r="L268" s="13" t="n"/>
      <c r="M268" s="11" t="n"/>
      <c r="N268" s="13" t="n"/>
      <c r="O268" s="11" t="n"/>
      <c r="P268" s="11" t="n"/>
      <c r="Q268" s="11" t="n"/>
      <c r="R268" s="12" t="n"/>
      <c r="S268" s="11" t="n"/>
    </row>
    <row r="269" ht="15" customHeight="1" s="21">
      <c r="A269" s="11" t="n"/>
      <c r="B269" s="11" t="n"/>
      <c r="C269" s="11" t="n"/>
      <c r="D269" s="12" t="n"/>
      <c r="E269" s="11" t="n"/>
      <c r="F269" s="11" t="n"/>
      <c r="G269" s="11" t="n"/>
      <c r="H269" s="13" t="n"/>
      <c r="I269" s="12" t="n"/>
      <c r="J269" s="12" t="n"/>
      <c r="K269" s="14">
        <f>IF($H269="","",TODAY()-$H269)</f>
        <v/>
      </c>
      <c r="L269" s="13" t="n"/>
      <c r="M269" s="11" t="n"/>
      <c r="N269" s="13" t="n"/>
      <c r="O269" s="11" t="n"/>
      <c r="P269" s="11" t="n"/>
      <c r="Q269" s="11" t="n"/>
      <c r="R269" s="12" t="n"/>
      <c r="S269" s="11" t="n"/>
    </row>
    <row r="270" ht="15" customHeight="1" s="21">
      <c r="A270" s="11" t="n"/>
      <c r="B270" s="11" t="n"/>
      <c r="C270" s="11" t="n"/>
      <c r="D270" s="12" t="n"/>
      <c r="E270" s="11" t="n"/>
      <c r="F270" s="11" t="n"/>
      <c r="G270" s="11" t="n"/>
      <c r="H270" s="13" t="n"/>
      <c r="I270" s="12" t="n"/>
      <c r="J270" s="12" t="n"/>
      <c r="K270" s="14">
        <f>IF($H270="","",TODAY()-$H270)</f>
        <v/>
      </c>
      <c r="L270" s="13" t="n"/>
      <c r="M270" s="11" t="n"/>
      <c r="N270" s="13" t="n"/>
      <c r="O270" s="11" t="n"/>
      <c r="P270" s="11" t="n"/>
      <c r="Q270" s="11" t="n"/>
      <c r="R270" s="12" t="n"/>
      <c r="S270" s="11" t="n"/>
    </row>
    <row r="271" ht="15" customHeight="1" s="21">
      <c r="A271" s="11" t="n"/>
      <c r="B271" s="11" t="n"/>
      <c r="C271" s="11" t="n"/>
      <c r="D271" s="12" t="n"/>
      <c r="E271" s="11" t="n"/>
      <c r="F271" s="11" t="n"/>
      <c r="G271" s="11" t="n"/>
      <c r="H271" s="13" t="n"/>
      <c r="I271" s="12" t="n"/>
      <c r="J271" s="12" t="n"/>
      <c r="K271" s="14">
        <f>IF($H271="","",TODAY()-$H271)</f>
        <v/>
      </c>
      <c r="L271" s="13" t="n"/>
      <c r="M271" s="11" t="n"/>
      <c r="N271" s="13" t="n"/>
      <c r="O271" s="11" t="n"/>
      <c r="P271" s="11" t="n"/>
      <c r="Q271" s="11" t="n"/>
      <c r="R271" s="12" t="n"/>
      <c r="S271" s="11" t="n"/>
    </row>
    <row r="272" ht="15" customHeight="1" s="21">
      <c r="A272" s="11" t="n"/>
      <c r="B272" s="11" t="n"/>
      <c r="C272" s="11" t="n"/>
      <c r="D272" s="12" t="n"/>
      <c r="E272" s="11" t="n"/>
      <c r="F272" s="11" t="n"/>
      <c r="G272" s="11" t="n"/>
      <c r="H272" s="13" t="n"/>
      <c r="I272" s="12" t="n"/>
      <c r="J272" s="12" t="n"/>
      <c r="K272" s="14">
        <f>IF($H272="","",TODAY()-$H272)</f>
        <v/>
      </c>
      <c r="L272" s="13" t="n"/>
      <c r="M272" s="11" t="n"/>
      <c r="N272" s="13" t="n"/>
      <c r="O272" s="11" t="n"/>
      <c r="P272" s="11" t="n"/>
      <c r="Q272" s="11" t="n"/>
      <c r="R272" s="12" t="n"/>
      <c r="S272" s="11" t="n"/>
    </row>
    <row r="273" ht="15" customHeight="1" s="21">
      <c r="A273" s="11" t="n"/>
      <c r="B273" s="11" t="n"/>
      <c r="C273" s="11" t="n"/>
      <c r="D273" s="12" t="n"/>
      <c r="E273" s="11" t="n"/>
      <c r="F273" s="11" t="n"/>
      <c r="G273" s="11" t="n"/>
      <c r="H273" s="13" t="n"/>
      <c r="I273" s="12" t="n"/>
      <c r="J273" s="12" t="n"/>
      <c r="K273" s="14">
        <f>IF($H273="","",TODAY()-$H273)</f>
        <v/>
      </c>
      <c r="L273" s="13" t="n"/>
      <c r="M273" s="11" t="n"/>
      <c r="N273" s="13" t="n"/>
      <c r="O273" s="11" t="n"/>
      <c r="P273" s="11" t="n"/>
      <c r="Q273" s="11" t="n"/>
      <c r="R273" s="12" t="n"/>
      <c r="S273" s="11" t="n"/>
    </row>
    <row r="274" ht="15" customHeight="1" s="21">
      <c r="A274" s="11" t="n"/>
      <c r="B274" s="11" t="n"/>
      <c r="C274" s="11" t="n"/>
      <c r="D274" s="12" t="n"/>
      <c r="E274" s="11" t="n"/>
      <c r="F274" s="11" t="n"/>
      <c r="G274" s="11" t="n"/>
      <c r="H274" s="13" t="n"/>
      <c r="I274" s="12" t="n"/>
      <c r="J274" s="12" t="n"/>
      <c r="K274" s="14">
        <f>IF($H274="","",TODAY()-$H274)</f>
        <v/>
      </c>
      <c r="L274" s="13" t="n"/>
      <c r="M274" s="11" t="n"/>
      <c r="N274" s="13" t="n"/>
      <c r="O274" s="11" t="n"/>
      <c r="P274" s="11" t="n"/>
      <c r="Q274" s="11" t="n"/>
      <c r="R274" s="12" t="n"/>
      <c r="S274" s="11" t="n"/>
    </row>
    <row r="275" ht="15" customHeight="1" s="21">
      <c r="A275" s="11" t="n"/>
      <c r="B275" s="11" t="n"/>
      <c r="C275" s="11" t="n"/>
      <c r="D275" s="12" t="n"/>
      <c r="E275" s="11" t="n"/>
      <c r="F275" s="11" t="n"/>
      <c r="G275" s="11" t="n"/>
      <c r="H275" s="13" t="n"/>
      <c r="I275" s="12" t="n"/>
      <c r="J275" s="12" t="n"/>
      <c r="K275" s="14">
        <f>IF($H275="","",TODAY()-$H275)</f>
        <v/>
      </c>
      <c r="L275" s="13" t="n"/>
      <c r="M275" s="11" t="n"/>
      <c r="N275" s="13" t="n"/>
      <c r="O275" s="11" t="n"/>
      <c r="P275" s="11" t="n"/>
      <c r="Q275" s="11" t="n"/>
      <c r="R275" s="12" t="n"/>
      <c r="S275" s="11" t="n"/>
    </row>
    <row r="276" ht="15" customHeight="1" s="21">
      <c r="A276" s="11" t="n"/>
      <c r="B276" s="11" t="n"/>
      <c r="C276" s="11" t="n"/>
      <c r="D276" s="12" t="n"/>
      <c r="E276" s="11" t="n"/>
      <c r="F276" s="11" t="n"/>
      <c r="G276" s="11" t="n"/>
      <c r="H276" s="13" t="n"/>
      <c r="I276" s="12" t="n"/>
      <c r="J276" s="12" t="n"/>
      <c r="K276" s="14">
        <f>IF($H276="","",TODAY()-$H276)</f>
        <v/>
      </c>
      <c r="L276" s="13" t="n"/>
      <c r="M276" s="11" t="n"/>
      <c r="N276" s="13" t="n"/>
      <c r="O276" s="11" t="n"/>
      <c r="P276" s="11" t="n"/>
      <c r="Q276" s="11" t="n"/>
      <c r="R276" s="12" t="n"/>
      <c r="S276" s="11" t="n"/>
    </row>
    <row r="277" ht="15" customHeight="1" s="21">
      <c r="A277" s="11" t="n"/>
      <c r="B277" s="11" t="n"/>
      <c r="C277" s="11" t="n"/>
      <c r="D277" s="12" t="n"/>
      <c r="E277" s="11" t="n"/>
      <c r="F277" s="11" t="n"/>
      <c r="G277" s="11" t="n"/>
      <c r="H277" s="13" t="n"/>
      <c r="I277" s="12" t="n"/>
      <c r="J277" s="12" t="n"/>
      <c r="K277" s="14">
        <f>IF($H277="","",TODAY()-$H277)</f>
        <v/>
      </c>
      <c r="L277" s="13" t="n"/>
      <c r="M277" s="11" t="n"/>
      <c r="N277" s="13" t="n"/>
      <c r="O277" s="11" t="n"/>
      <c r="P277" s="11" t="n"/>
      <c r="Q277" s="11" t="n"/>
      <c r="R277" s="12" t="n"/>
      <c r="S277" s="11" t="n"/>
    </row>
    <row r="278" ht="15" customHeight="1" s="21">
      <c r="A278" s="11" t="n"/>
      <c r="B278" s="11" t="n"/>
      <c r="C278" s="11" t="n"/>
      <c r="D278" s="12" t="n"/>
      <c r="E278" s="11" t="n"/>
      <c r="F278" s="11" t="n"/>
      <c r="G278" s="11" t="n"/>
      <c r="H278" s="13" t="n"/>
      <c r="I278" s="12" t="n"/>
      <c r="J278" s="12" t="n"/>
      <c r="K278" s="14">
        <f>IF($H278="","",TODAY()-$H278)</f>
        <v/>
      </c>
      <c r="L278" s="13" t="n"/>
      <c r="M278" s="11" t="n"/>
      <c r="N278" s="13" t="n"/>
      <c r="O278" s="11" t="n"/>
      <c r="P278" s="11" t="n"/>
      <c r="Q278" s="11" t="n"/>
      <c r="R278" s="12" t="n"/>
      <c r="S278" s="11" t="n"/>
    </row>
    <row r="279" ht="15" customHeight="1" s="21">
      <c r="A279" s="11" t="n"/>
      <c r="B279" s="11" t="n"/>
      <c r="C279" s="11" t="n"/>
      <c r="D279" s="12" t="n"/>
      <c r="E279" s="11" t="n"/>
      <c r="F279" s="11" t="n"/>
      <c r="G279" s="11" t="n"/>
      <c r="H279" s="13" t="n"/>
      <c r="I279" s="12" t="n"/>
      <c r="J279" s="12" t="n"/>
      <c r="K279" s="14">
        <f>IF($H279="","",TODAY()-$H279)</f>
        <v/>
      </c>
      <c r="L279" s="13" t="n"/>
      <c r="M279" s="11" t="n"/>
      <c r="N279" s="13" t="n"/>
      <c r="O279" s="11" t="n"/>
      <c r="P279" s="11" t="n"/>
      <c r="Q279" s="11" t="n"/>
      <c r="R279" s="12" t="n"/>
      <c r="S279" s="11" t="n"/>
    </row>
    <row r="280" ht="15" customHeight="1" s="21">
      <c r="A280" s="11" t="n"/>
      <c r="B280" s="11" t="n"/>
      <c r="C280" s="11" t="n"/>
      <c r="D280" s="12" t="n"/>
      <c r="E280" s="11" t="n"/>
      <c r="F280" s="11" t="n"/>
      <c r="G280" s="11" t="n"/>
      <c r="H280" s="13" t="n"/>
      <c r="I280" s="12" t="n"/>
      <c r="J280" s="12" t="n"/>
      <c r="K280" s="14">
        <f>IF($H280="","",TODAY()-$H280)</f>
        <v/>
      </c>
      <c r="L280" s="13" t="n"/>
      <c r="M280" s="11" t="n"/>
      <c r="N280" s="13" t="n"/>
      <c r="O280" s="11" t="n"/>
      <c r="P280" s="11" t="n"/>
      <c r="Q280" s="11" t="n"/>
      <c r="R280" s="12" t="n"/>
      <c r="S280" s="11" t="n"/>
    </row>
    <row r="281" ht="15" customHeight="1" s="21">
      <c r="A281" s="11" t="n"/>
      <c r="B281" s="11" t="n"/>
      <c r="C281" s="11" t="n"/>
      <c r="D281" s="12" t="n"/>
      <c r="E281" s="11" t="n"/>
      <c r="F281" s="11" t="n"/>
      <c r="G281" s="11" t="n"/>
      <c r="H281" s="13" t="n"/>
      <c r="I281" s="12" t="n"/>
      <c r="J281" s="12" t="n"/>
      <c r="K281" s="14">
        <f>IF($H281="","",TODAY()-$H281)</f>
        <v/>
      </c>
      <c r="L281" s="13" t="n"/>
      <c r="M281" s="11" t="n"/>
      <c r="N281" s="13" t="n"/>
      <c r="O281" s="11" t="n"/>
      <c r="P281" s="11" t="n"/>
      <c r="Q281" s="11" t="n"/>
      <c r="R281" s="12" t="n"/>
      <c r="S281" s="11" t="n"/>
    </row>
    <row r="282" ht="15" customHeight="1" s="21">
      <c r="A282" s="11" t="n"/>
      <c r="B282" s="11" t="n"/>
      <c r="C282" s="11" t="n"/>
      <c r="D282" s="12" t="n"/>
      <c r="E282" s="11" t="n"/>
      <c r="F282" s="11" t="n"/>
      <c r="G282" s="11" t="n"/>
      <c r="H282" s="13" t="n"/>
      <c r="I282" s="12" t="n"/>
      <c r="J282" s="12" t="n"/>
      <c r="K282" s="14">
        <f>IF($H282="","",TODAY()-$H282)</f>
        <v/>
      </c>
      <c r="L282" s="13" t="n"/>
      <c r="M282" s="11" t="n"/>
      <c r="N282" s="13" t="n"/>
      <c r="O282" s="11" t="n"/>
      <c r="P282" s="11" t="n"/>
      <c r="Q282" s="11" t="n"/>
      <c r="R282" s="12" t="n"/>
      <c r="S282" s="11" t="n"/>
    </row>
    <row r="283" ht="15" customHeight="1" s="21">
      <c r="A283" s="11" t="n"/>
      <c r="B283" s="11" t="n"/>
      <c r="C283" s="11" t="n"/>
      <c r="D283" s="12" t="n"/>
      <c r="E283" s="11" t="n"/>
      <c r="F283" s="11" t="n"/>
      <c r="G283" s="11" t="n"/>
      <c r="H283" s="13" t="n"/>
      <c r="I283" s="12" t="n"/>
      <c r="J283" s="12" t="n"/>
      <c r="K283" s="14">
        <f>IF($H283="","",TODAY()-$H283)</f>
        <v/>
      </c>
      <c r="L283" s="13" t="n"/>
      <c r="M283" s="11" t="n"/>
      <c r="N283" s="13" t="n"/>
      <c r="O283" s="11" t="n"/>
      <c r="P283" s="11" t="n"/>
      <c r="Q283" s="11" t="n"/>
      <c r="R283" s="12" t="n"/>
      <c r="S283" s="11" t="n"/>
    </row>
    <row r="284" ht="15" customHeight="1" s="21">
      <c r="A284" s="11" t="n"/>
      <c r="B284" s="11" t="n"/>
      <c r="C284" s="11" t="n"/>
      <c r="D284" s="12" t="n"/>
      <c r="E284" s="11" t="n"/>
      <c r="F284" s="11" t="n"/>
      <c r="G284" s="11" t="n"/>
      <c r="H284" s="13" t="n"/>
      <c r="I284" s="12" t="n"/>
      <c r="J284" s="12" t="n"/>
      <c r="K284" s="14">
        <f>IF($H284="","",TODAY()-$H284)</f>
        <v/>
      </c>
      <c r="L284" s="13" t="n"/>
      <c r="M284" s="11" t="n"/>
      <c r="N284" s="13" t="n"/>
      <c r="O284" s="11" t="n"/>
      <c r="P284" s="11" t="n"/>
      <c r="Q284" s="11" t="n"/>
      <c r="R284" s="12" t="n"/>
      <c r="S284" s="11" t="n"/>
    </row>
    <row r="285" ht="15" customHeight="1" s="21">
      <c r="A285" s="11" t="n"/>
      <c r="B285" s="11" t="n"/>
      <c r="C285" s="11" t="n"/>
      <c r="D285" s="12" t="n"/>
      <c r="E285" s="11" t="n"/>
      <c r="F285" s="11" t="n"/>
      <c r="G285" s="11" t="n"/>
      <c r="H285" s="13" t="n"/>
      <c r="I285" s="12" t="n"/>
      <c r="J285" s="12" t="n"/>
      <c r="K285" s="14">
        <f>IF($H285="","",TODAY()-$H285)</f>
        <v/>
      </c>
      <c r="L285" s="13" t="n"/>
      <c r="M285" s="11" t="n"/>
      <c r="N285" s="13" t="n"/>
      <c r="O285" s="11" t="n"/>
      <c r="P285" s="11" t="n"/>
      <c r="Q285" s="11" t="n"/>
      <c r="R285" s="12" t="n"/>
      <c r="S285" s="11" t="n"/>
    </row>
    <row r="286" ht="15" customHeight="1" s="21">
      <c r="A286" s="11" t="n"/>
      <c r="B286" s="11" t="n"/>
      <c r="C286" s="11" t="n"/>
      <c r="D286" s="12" t="n"/>
      <c r="E286" s="11" t="n"/>
      <c r="F286" s="11" t="n"/>
      <c r="G286" s="11" t="n"/>
      <c r="H286" s="13" t="n"/>
      <c r="I286" s="12" t="n"/>
      <c r="J286" s="12" t="n"/>
      <c r="K286" s="14">
        <f>IF($H286="","",TODAY()-$H286)</f>
        <v/>
      </c>
      <c r="L286" s="13" t="n"/>
      <c r="M286" s="11" t="n"/>
      <c r="N286" s="13" t="n"/>
      <c r="O286" s="11" t="n"/>
      <c r="P286" s="11" t="n"/>
      <c r="Q286" s="11" t="n"/>
      <c r="R286" s="12" t="n"/>
      <c r="S286" s="11" t="n"/>
    </row>
    <row r="287" ht="15" customHeight="1" s="21">
      <c r="A287" s="11" t="n"/>
      <c r="B287" s="11" t="n"/>
      <c r="C287" s="11" t="n"/>
      <c r="D287" s="12" t="n"/>
      <c r="E287" s="11" t="n"/>
      <c r="F287" s="11" t="n"/>
      <c r="G287" s="11" t="n"/>
      <c r="H287" s="13" t="n"/>
      <c r="I287" s="12" t="n"/>
      <c r="J287" s="12" t="n"/>
      <c r="K287" s="14">
        <f>IF($H287="","",TODAY()-$H287)</f>
        <v/>
      </c>
      <c r="L287" s="13" t="n"/>
      <c r="M287" s="11" t="n"/>
      <c r="N287" s="13" t="n"/>
      <c r="O287" s="11" t="n"/>
      <c r="P287" s="11" t="n"/>
      <c r="Q287" s="11" t="n"/>
      <c r="R287" s="12" t="n"/>
      <c r="S287" s="11" t="n"/>
    </row>
    <row r="288" ht="15" customHeight="1" s="21">
      <c r="A288" s="11" t="n"/>
      <c r="B288" s="11" t="n"/>
      <c r="C288" s="11" t="n"/>
      <c r="D288" s="12" t="n"/>
      <c r="E288" s="11" t="n"/>
      <c r="F288" s="11" t="n"/>
      <c r="G288" s="11" t="n"/>
      <c r="H288" s="13" t="n"/>
      <c r="I288" s="12" t="n"/>
      <c r="J288" s="12" t="n"/>
      <c r="K288" s="14">
        <f>IF($H288="","",TODAY()-$H288)</f>
        <v/>
      </c>
      <c r="L288" s="13" t="n"/>
      <c r="M288" s="11" t="n"/>
      <c r="N288" s="13" t="n"/>
      <c r="O288" s="11" t="n"/>
      <c r="P288" s="11" t="n"/>
      <c r="Q288" s="11" t="n"/>
      <c r="R288" s="12" t="n"/>
      <c r="S288" s="11" t="n"/>
    </row>
    <row r="289" ht="15" customHeight="1" s="21">
      <c r="A289" s="11" t="n"/>
      <c r="B289" s="11" t="n"/>
      <c r="C289" s="11" t="n"/>
      <c r="D289" s="12" t="n"/>
      <c r="E289" s="11" t="n"/>
      <c r="F289" s="11" t="n"/>
      <c r="G289" s="11" t="n"/>
      <c r="H289" s="13" t="n"/>
      <c r="I289" s="12" t="n"/>
      <c r="J289" s="12" t="n"/>
      <c r="K289" s="14">
        <f>IF($H289="","",TODAY()-$H289)</f>
        <v/>
      </c>
      <c r="L289" s="13" t="n"/>
      <c r="M289" s="11" t="n"/>
      <c r="N289" s="13" t="n"/>
      <c r="O289" s="11" t="n"/>
      <c r="P289" s="11" t="n"/>
      <c r="Q289" s="11" t="n"/>
      <c r="R289" s="12" t="n"/>
      <c r="S289" s="11" t="n"/>
    </row>
    <row r="290" ht="15" customHeight="1" s="21">
      <c r="A290" s="11" t="n"/>
      <c r="B290" s="11" t="n"/>
      <c r="C290" s="11" t="n"/>
      <c r="D290" s="12" t="n"/>
      <c r="E290" s="11" t="n"/>
      <c r="F290" s="11" t="n"/>
      <c r="G290" s="11" t="n"/>
      <c r="H290" s="13" t="n"/>
      <c r="I290" s="12" t="n"/>
      <c r="J290" s="12" t="n"/>
      <c r="K290" s="14">
        <f>IF($H290="","",TODAY()-$H290)</f>
        <v/>
      </c>
      <c r="L290" s="13" t="n"/>
      <c r="M290" s="11" t="n"/>
      <c r="N290" s="13" t="n"/>
      <c r="O290" s="11" t="n"/>
      <c r="P290" s="11" t="n"/>
      <c r="Q290" s="11" t="n"/>
      <c r="R290" s="12" t="n"/>
      <c r="S290" s="11" t="n"/>
    </row>
    <row r="291" ht="15" customHeight="1" s="21">
      <c r="A291" s="11" t="n"/>
      <c r="B291" s="11" t="n"/>
      <c r="C291" s="11" t="n"/>
      <c r="D291" s="12" t="n"/>
      <c r="E291" s="11" t="n"/>
      <c r="F291" s="11" t="n"/>
      <c r="G291" s="11" t="n"/>
      <c r="H291" s="13" t="n"/>
      <c r="I291" s="12" t="n"/>
      <c r="J291" s="12" t="n"/>
      <c r="K291" s="14">
        <f>IF($H291="","",TODAY()-$H291)</f>
        <v/>
      </c>
      <c r="L291" s="13" t="n"/>
      <c r="M291" s="11" t="n"/>
      <c r="N291" s="13" t="n"/>
      <c r="O291" s="11" t="n"/>
      <c r="P291" s="11" t="n"/>
      <c r="Q291" s="11" t="n"/>
      <c r="R291" s="12" t="n"/>
      <c r="S291" s="11" t="n"/>
    </row>
    <row r="292" ht="15" customHeight="1" s="21">
      <c r="A292" s="11" t="n"/>
      <c r="B292" s="11" t="n"/>
      <c r="C292" s="11" t="n"/>
      <c r="D292" s="12" t="n"/>
      <c r="E292" s="11" t="n"/>
      <c r="F292" s="11" t="n"/>
      <c r="G292" s="11" t="n"/>
      <c r="H292" s="13" t="n"/>
      <c r="I292" s="12" t="n"/>
      <c r="J292" s="12" t="n"/>
      <c r="K292" s="14">
        <f>IF($H292="","",TODAY()-$H292)</f>
        <v/>
      </c>
      <c r="L292" s="13" t="n"/>
      <c r="M292" s="11" t="n"/>
      <c r="N292" s="13" t="n"/>
      <c r="O292" s="11" t="n"/>
      <c r="P292" s="11" t="n"/>
      <c r="Q292" s="11" t="n"/>
      <c r="R292" s="12" t="n"/>
      <c r="S292" s="11" t="n"/>
    </row>
    <row r="293" ht="15" customHeight="1" s="21">
      <c r="A293" s="11" t="n"/>
      <c r="B293" s="11" t="n"/>
      <c r="C293" s="11" t="n"/>
      <c r="D293" s="12" t="n"/>
      <c r="E293" s="11" t="n"/>
      <c r="F293" s="11" t="n"/>
      <c r="G293" s="11" t="n"/>
      <c r="H293" s="13" t="n"/>
      <c r="I293" s="12" t="n"/>
      <c r="J293" s="12" t="n"/>
      <c r="K293" s="14">
        <f>IF($H293="","",TODAY()-$H293)</f>
        <v/>
      </c>
      <c r="L293" s="13" t="n"/>
      <c r="M293" s="11" t="n"/>
      <c r="N293" s="13" t="n"/>
      <c r="O293" s="11" t="n"/>
      <c r="P293" s="11" t="n"/>
      <c r="Q293" s="11" t="n"/>
      <c r="R293" s="12" t="n"/>
      <c r="S293" s="11" t="n"/>
    </row>
    <row r="294" ht="15" customHeight="1" s="21">
      <c r="A294" s="11" t="n"/>
      <c r="B294" s="11" t="n"/>
      <c r="C294" s="11" t="n"/>
      <c r="D294" s="12" t="n"/>
      <c r="E294" s="11" t="n"/>
      <c r="F294" s="11" t="n"/>
      <c r="G294" s="11" t="n"/>
      <c r="H294" s="13" t="n"/>
      <c r="I294" s="12" t="n"/>
      <c r="J294" s="12" t="n"/>
      <c r="K294" s="14">
        <f>IF($H294="","",TODAY()-$H294)</f>
        <v/>
      </c>
      <c r="L294" s="13" t="n"/>
      <c r="M294" s="11" t="n"/>
      <c r="N294" s="13" t="n"/>
      <c r="O294" s="11" t="n"/>
      <c r="P294" s="11" t="n"/>
      <c r="Q294" s="11" t="n"/>
      <c r="R294" s="12" t="n"/>
      <c r="S294" s="11" t="n"/>
    </row>
    <row r="295" ht="15" customHeight="1" s="21">
      <c r="A295" s="11" t="n"/>
      <c r="B295" s="11" t="n"/>
      <c r="C295" s="11" t="n"/>
      <c r="D295" s="12" t="n"/>
      <c r="E295" s="11" t="n"/>
      <c r="F295" s="11" t="n"/>
      <c r="G295" s="11" t="n"/>
      <c r="H295" s="13" t="n"/>
      <c r="I295" s="12" t="n"/>
      <c r="J295" s="12" t="n"/>
      <c r="K295" s="14">
        <f>IF($H295="","",TODAY()-$H295)</f>
        <v/>
      </c>
      <c r="L295" s="13" t="n"/>
      <c r="M295" s="11" t="n"/>
      <c r="N295" s="13" t="n"/>
      <c r="O295" s="11" t="n"/>
      <c r="P295" s="11" t="n"/>
      <c r="Q295" s="11" t="n"/>
      <c r="R295" s="12" t="n"/>
      <c r="S295" s="11" t="n"/>
    </row>
    <row r="296" ht="15" customHeight="1" s="21">
      <c r="A296" s="11" t="n"/>
      <c r="B296" s="11" t="n"/>
      <c r="C296" s="11" t="n"/>
      <c r="D296" s="12" t="n"/>
      <c r="E296" s="11" t="n"/>
      <c r="F296" s="11" t="n"/>
      <c r="G296" s="11" t="n"/>
      <c r="H296" s="13" t="n"/>
      <c r="I296" s="12" t="n"/>
      <c r="J296" s="12" t="n"/>
      <c r="K296" s="14">
        <f>IF($H296="","",TODAY()-$H296)</f>
        <v/>
      </c>
      <c r="L296" s="13" t="n"/>
      <c r="M296" s="11" t="n"/>
      <c r="N296" s="13" t="n"/>
      <c r="O296" s="11" t="n"/>
      <c r="P296" s="11" t="n"/>
      <c r="Q296" s="11" t="n"/>
      <c r="R296" s="12" t="n"/>
      <c r="S296" s="11" t="n"/>
    </row>
    <row r="297" ht="15" customHeight="1" s="21">
      <c r="A297" s="11" t="n"/>
      <c r="B297" s="11" t="n"/>
      <c r="C297" s="11" t="n"/>
      <c r="D297" s="12" t="n"/>
      <c r="E297" s="11" t="n"/>
      <c r="F297" s="11" t="n"/>
      <c r="G297" s="11" t="n"/>
      <c r="H297" s="13" t="n"/>
      <c r="I297" s="12" t="n"/>
      <c r="J297" s="12" t="n"/>
      <c r="K297" s="14">
        <f>IF($H297="","",TODAY()-$H297)</f>
        <v/>
      </c>
      <c r="L297" s="13" t="n"/>
      <c r="M297" s="11" t="n"/>
      <c r="N297" s="13" t="n"/>
      <c r="O297" s="11" t="n"/>
      <c r="P297" s="11" t="n"/>
      <c r="Q297" s="11" t="n"/>
      <c r="R297" s="12" t="n"/>
      <c r="S297" s="11" t="n"/>
    </row>
    <row r="298" ht="15" customHeight="1" s="21">
      <c r="A298" s="11" t="n"/>
      <c r="B298" s="11" t="n"/>
      <c r="C298" s="11" t="n"/>
      <c r="D298" s="12" t="n"/>
      <c r="E298" s="11" t="n"/>
      <c r="F298" s="11" t="n"/>
      <c r="G298" s="11" t="n"/>
      <c r="H298" s="13" t="n"/>
      <c r="I298" s="12" t="n"/>
      <c r="J298" s="12" t="n"/>
      <c r="K298" s="14">
        <f>IF($H298="","",TODAY()-$H298)</f>
        <v/>
      </c>
      <c r="L298" s="13" t="n"/>
      <c r="M298" s="11" t="n"/>
      <c r="N298" s="13" t="n"/>
      <c r="O298" s="11" t="n"/>
      <c r="P298" s="11" t="n"/>
      <c r="Q298" s="11" t="n"/>
      <c r="R298" s="12" t="n"/>
      <c r="S298" s="11" t="n"/>
    </row>
    <row r="299" ht="15" customHeight="1" s="21">
      <c r="A299" s="11" t="n"/>
      <c r="B299" s="11" t="n"/>
      <c r="C299" s="11" t="n"/>
      <c r="D299" s="12" t="n"/>
      <c r="E299" s="11" t="n"/>
      <c r="F299" s="11" t="n"/>
      <c r="G299" s="11" t="n"/>
      <c r="H299" s="13" t="n"/>
      <c r="I299" s="12" t="n"/>
      <c r="J299" s="12" t="n"/>
      <c r="K299" s="14">
        <f>IF($H299="","",TODAY()-$H299)</f>
        <v/>
      </c>
      <c r="L299" s="13" t="n"/>
      <c r="M299" s="11" t="n"/>
      <c r="N299" s="13" t="n"/>
      <c r="O299" s="11" t="n"/>
      <c r="P299" s="11" t="n"/>
      <c r="Q299" s="11" t="n"/>
      <c r="R299" s="12" t="n"/>
      <c r="S299" s="11" t="n"/>
    </row>
    <row r="300" ht="15" customHeight="1" s="21">
      <c r="A300" s="11" t="n"/>
      <c r="B300" s="11" t="n"/>
      <c r="C300" s="11" t="n"/>
      <c r="D300" s="12" t="n"/>
      <c r="E300" s="11" t="n"/>
      <c r="F300" s="11" t="n"/>
      <c r="G300" s="11" t="n"/>
      <c r="H300" s="13" t="n"/>
      <c r="I300" s="12" t="n"/>
      <c r="J300" s="12" t="n"/>
      <c r="K300" s="14">
        <f>IF($H300="","",TODAY()-$H300)</f>
        <v/>
      </c>
      <c r="L300" s="13" t="n"/>
      <c r="M300" s="11" t="n"/>
      <c r="N300" s="13" t="n"/>
      <c r="O300" s="11" t="n"/>
      <c r="P300" s="11" t="n"/>
      <c r="Q300" s="11" t="n"/>
      <c r="R300" s="12" t="n"/>
      <c r="S300" s="11" t="n"/>
    </row>
    <row r="301" ht="15" customHeight="1" s="21">
      <c r="A301" s="11" t="n"/>
      <c r="B301" s="11" t="n"/>
      <c r="C301" s="11" t="n"/>
      <c r="D301" s="12" t="n"/>
      <c r="E301" s="11" t="n"/>
      <c r="F301" s="11" t="n"/>
      <c r="G301" s="11" t="n"/>
      <c r="H301" s="13" t="n"/>
      <c r="I301" s="12" t="n"/>
      <c r="J301" s="12" t="n"/>
      <c r="K301" s="14">
        <f>IF($H301="","",TODAY()-$H301)</f>
        <v/>
      </c>
      <c r="L301" s="13" t="n"/>
      <c r="M301" s="11" t="n"/>
      <c r="N301" s="13" t="n"/>
      <c r="O301" s="11" t="n"/>
      <c r="P301" s="11" t="n"/>
      <c r="Q301" s="11" t="n"/>
      <c r="R301" s="12" t="n"/>
      <c r="S301" s="11" t="n"/>
    </row>
    <row r="302" ht="15" customHeight="1" s="21">
      <c r="A302" s="11" t="n"/>
      <c r="B302" s="11" t="n"/>
      <c r="C302" s="11" t="n"/>
      <c r="D302" s="12" t="n"/>
      <c r="E302" s="11" t="n"/>
      <c r="F302" s="11" t="n"/>
      <c r="G302" s="11" t="n"/>
      <c r="H302" s="13" t="n"/>
      <c r="I302" s="12" t="n"/>
      <c r="J302" s="12" t="n"/>
      <c r="K302" s="14">
        <f>IF($H302="","",TODAY()-$H302)</f>
        <v/>
      </c>
      <c r="L302" s="13" t="n"/>
      <c r="M302" s="11" t="n"/>
      <c r="N302" s="13" t="n"/>
      <c r="O302" s="11" t="n"/>
      <c r="P302" s="11" t="n"/>
      <c r="Q302" s="11" t="n"/>
      <c r="R302" s="12" t="n"/>
      <c r="S302" s="11" t="n"/>
    </row>
    <row r="303" ht="15" customHeight="1" s="21">
      <c r="A303" s="11" t="n"/>
      <c r="B303" s="11" t="n"/>
      <c r="C303" s="11" t="n"/>
      <c r="D303" s="12" t="n"/>
      <c r="E303" s="11" t="n"/>
      <c r="F303" s="11" t="n"/>
      <c r="G303" s="11" t="n"/>
      <c r="H303" s="13" t="n"/>
      <c r="I303" s="12" t="n"/>
      <c r="J303" s="12" t="n"/>
      <c r="K303" s="14">
        <f>IF($H303="","",TODAY()-$H303)</f>
        <v/>
      </c>
      <c r="L303" s="13" t="n"/>
      <c r="M303" s="11" t="n"/>
      <c r="N303" s="13" t="n"/>
      <c r="O303" s="11" t="n"/>
      <c r="P303" s="11" t="n"/>
      <c r="Q303" s="11" t="n"/>
      <c r="R303" s="12" t="n"/>
      <c r="S303" s="11" t="n"/>
    </row>
    <row r="304" ht="15" customHeight="1" s="21">
      <c r="A304" s="11" t="n"/>
      <c r="B304" s="11" t="n"/>
      <c r="C304" s="11" t="n"/>
      <c r="D304" s="12" t="n"/>
      <c r="E304" s="11" t="n"/>
      <c r="F304" s="11" t="n"/>
      <c r="G304" s="11" t="n"/>
      <c r="H304" s="13" t="n"/>
      <c r="I304" s="12" t="n"/>
      <c r="J304" s="12" t="n"/>
      <c r="K304" s="14">
        <f>IF($H304="","",TODAY()-$H304)</f>
        <v/>
      </c>
      <c r="L304" s="13" t="n"/>
      <c r="M304" s="11" t="n"/>
      <c r="N304" s="13" t="n"/>
      <c r="O304" s="11" t="n"/>
      <c r="P304" s="11" t="n"/>
      <c r="Q304" s="11" t="n"/>
      <c r="R304" s="12" t="n"/>
      <c r="S304" s="11" t="n"/>
    </row>
    <row r="305" ht="15" customHeight="1" s="21">
      <c r="A305" s="11" t="n"/>
      <c r="B305" s="11" t="n"/>
      <c r="C305" s="11" t="n"/>
      <c r="D305" s="12" t="n"/>
      <c r="E305" s="11" t="n"/>
      <c r="F305" s="11" t="n"/>
      <c r="G305" s="11" t="n"/>
      <c r="H305" s="13" t="n"/>
      <c r="I305" s="12" t="n"/>
      <c r="J305" s="12" t="n"/>
      <c r="K305" s="14">
        <f>IF($H305="","",TODAY()-$H305)</f>
        <v/>
      </c>
      <c r="L305" s="13" t="n"/>
      <c r="M305" s="11" t="n"/>
      <c r="N305" s="13" t="n"/>
      <c r="O305" s="11" t="n"/>
      <c r="P305" s="11" t="n"/>
      <c r="Q305" s="11" t="n"/>
      <c r="R305" s="12" t="n"/>
      <c r="S305" s="11" t="n"/>
    </row>
    <row r="306" ht="15" customHeight="1" s="21">
      <c r="A306" s="11" t="n"/>
      <c r="B306" s="11" t="n"/>
      <c r="C306" s="11" t="n"/>
      <c r="D306" s="12" t="n"/>
      <c r="E306" s="11" t="n"/>
      <c r="F306" s="11" t="n"/>
      <c r="G306" s="11" t="n"/>
      <c r="H306" s="13" t="n"/>
      <c r="I306" s="12" t="n"/>
      <c r="J306" s="12" t="n"/>
      <c r="K306" s="14">
        <f>IF($H306="","",TODAY()-$H306)</f>
        <v/>
      </c>
      <c r="L306" s="13" t="n"/>
      <c r="M306" s="11" t="n"/>
      <c r="N306" s="13" t="n"/>
      <c r="O306" s="11" t="n"/>
      <c r="P306" s="11" t="n"/>
      <c r="Q306" s="11" t="n"/>
      <c r="R306" s="12" t="n"/>
      <c r="S306" s="11" t="n"/>
    </row>
    <row r="307" ht="15" customHeight="1" s="21">
      <c r="A307" s="11" t="n"/>
      <c r="B307" s="11" t="n"/>
      <c r="C307" s="11" t="n"/>
      <c r="D307" s="12" t="n"/>
      <c r="E307" s="11" t="n"/>
      <c r="F307" s="11" t="n"/>
      <c r="G307" s="11" t="n"/>
      <c r="H307" s="13" t="n"/>
      <c r="I307" s="12" t="n"/>
      <c r="J307" s="12" t="n"/>
      <c r="K307" s="14">
        <f>IF($H307="","",TODAY()-$H307)</f>
        <v/>
      </c>
      <c r="L307" s="13" t="n"/>
      <c r="M307" s="11" t="n"/>
      <c r="N307" s="13" t="n"/>
      <c r="O307" s="11" t="n"/>
      <c r="P307" s="11" t="n"/>
      <c r="Q307" s="11" t="n"/>
      <c r="R307" s="12" t="n"/>
      <c r="S307" s="11" t="n"/>
    </row>
    <row r="308" ht="15" customHeight="1" s="21">
      <c r="A308" s="11" t="n"/>
      <c r="B308" s="11" t="n"/>
      <c r="C308" s="11" t="n"/>
      <c r="D308" s="12" t="n"/>
      <c r="E308" s="11" t="n"/>
      <c r="F308" s="11" t="n"/>
      <c r="G308" s="11" t="n"/>
      <c r="H308" s="13" t="n"/>
      <c r="I308" s="12" t="n"/>
      <c r="J308" s="12" t="n"/>
      <c r="K308" s="14">
        <f>IF($H308="","",TODAY()-$H308)</f>
        <v/>
      </c>
      <c r="L308" s="13" t="n"/>
      <c r="M308" s="11" t="n"/>
      <c r="N308" s="13" t="n"/>
      <c r="O308" s="11" t="n"/>
      <c r="P308" s="11" t="n"/>
      <c r="Q308" s="11" t="n"/>
      <c r="R308" s="12" t="n"/>
      <c r="S308" s="11" t="n"/>
    </row>
    <row r="309" ht="15" customHeight="1" s="21">
      <c r="A309" s="11" t="n"/>
      <c r="B309" s="11" t="n"/>
      <c r="C309" s="11" t="n"/>
      <c r="D309" s="12" t="n"/>
      <c r="E309" s="11" t="n"/>
      <c r="F309" s="11" t="n"/>
      <c r="G309" s="11" t="n"/>
      <c r="H309" s="13" t="n"/>
      <c r="I309" s="12" t="n"/>
      <c r="J309" s="12" t="n"/>
      <c r="K309" s="14">
        <f>IF($H309="","",TODAY()-$H309)</f>
        <v/>
      </c>
      <c r="L309" s="13" t="n"/>
      <c r="M309" s="11" t="n"/>
      <c r="N309" s="13" t="n"/>
      <c r="O309" s="11" t="n"/>
      <c r="P309" s="11" t="n"/>
      <c r="Q309" s="11" t="n"/>
      <c r="R309" s="12" t="n"/>
      <c r="S309" s="11" t="n"/>
    </row>
    <row r="310" ht="15" customHeight="1" s="21">
      <c r="A310" s="11" t="n"/>
      <c r="B310" s="11" t="n"/>
      <c r="C310" s="11" t="n"/>
      <c r="D310" s="12" t="n"/>
      <c r="E310" s="11" t="n"/>
      <c r="F310" s="11" t="n"/>
      <c r="G310" s="11" t="n"/>
      <c r="H310" s="13" t="n"/>
      <c r="I310" s="12" t="n"/>
      <c r="J310" s="12" t="n"/>
      <c r="K310" s="14">
        <f>IF($H310="","",TODAY()-$H310)</f>
        <v/>
      </c>
      <c r="L310" s="13" t="n"/>
      <c r="M310" s="11" t="n"/>
      <c r="N310" s="13" t="n"/>
      <c r="O310" s="11" t="n"/>
      <c r="P310" s="11" t="n"/>
      <c r="Q310" s="11" t="n"/>
      <c r="R310" s="12" t="n"/>
      <c r="S310" s="11" t="n"/>
    </row>
    <row r="311" ht="15" customHeight="1" s="21">
      <c r="A311" s="11" t="n"/>
      <c r="B311" s="11" t="n"/>
      <c r="C311" s="11" t="n"/>
      <c r="D311" s="12" t="n"/>
      <c r="E311" s="11" t="n"/>
      <c r="F311" s="11" t="n"/>
      <c r="G311" s="11" t="n"/>
      <c r="H311" s="13" t="n"/>
      <c r="I311" s="12" t="n"/>
      <c r="J311" s="12" t="n"/>
      <c r="K311" s="14">
        <f>IF($H311="","",TODAY()-$H311)</f>
        <v/>
      </c>
      <c r="L311" s="13" t="n"/>
      <c r="M311" s="11" t="n"/>
      <c r="N311" s="13" t="n"/>
      <c r="O311" s="11" t="n"/>
      <c r="P311" s="11" t="n"/>
      <c r="Q311" s="11" t="n"/>
      <c r="R311" s="12" t="n"/>
      <c r="S311" s="11" t="n"/>
    </row>
    <row r="312" ht="15" customHeight="1" s="21">
      <c r="A312" s="11" t="n"/>
      <c r="B312" s="11" t="n"/>
      <c r="C312" s="11" t="n"/>
      <c r="D312" s="12" t="n"/>
      <c r="E312" s="11" t="n"/>
      <c r="F312" s="11" t="n"/>
      <c r="G312" s="11" t="n"/>
      <c r="H312" s="13" t="n"/>
      <c r="I312" s="12" t="n"/>
      <c r="J312" s="12" t="n"/>
      <c r="K312" s="14">
        <f>IF($H312="","",TODAY()-$H312)</f>
        <v/>
      </c>
      <c r="L312" s="13" t="n"/>
      <c r="M312" s="11" t="n"/>
      <c r="N312" s="13" t="n"/>
      <c r="O312" s="11" t="n"/>
      <c r="P312" s="11" t="n"/>
      <c r="Q312" s="11" t="n"/>
      <c r="R312" s="12" t="n"/>
      <c r="S312" s="11" t="n"/>
    </row>
    <row r="313" ht="15" customHeight="1" s="21">
      <c r="A313" s="11" t="n"/>
      <c r="B313" s="11" t="n"/>
      <c r="C313" s="11" t="n"/>
      <c r="D313" s="12" t="n"/>
      <c r="E313" s="11" t="n"/>
      <c r="F313" s="11" t="n"/>
      <c r="G313" s="11" t="n"/>
      <c r="H313" s="13" t="n"/>
      <c r="I313" s="12" t="n"/>
      <c r="J313" s="12" t="n"/>
      <c r="K313" s="14">
        <f>IF($H313="","",TODAY()-$H313)</f>
        <v/>
      </c>
      <c r="L313" s="13" t="n"/>
      <c r="M313" s="11" t="n"/>
      <c r="N313" s="13" t="n"/>
      <c r="O313" s="11" t="n"/>
      <c r="P313" s="11" t="n"/>
      <c r="Q313" s="11" t="n"/>
      <c r="R313" s="12" t="n"/>
      <c r="S313" s="11" t="n"/>
    </row>
    <row r="314" ht="15" customHeight="1" s="21">
      <c r="A314" s="11" t="n"/>
      <c r="B314" s="11" t="n"/>
      <c r="C314" s="11" t="n"/>
      <c r="D314" s="12" t="n"/>
      <c r="E314" s="11" t="n"/>
      <c r="F314" s="11" t="n"/>
      <c r="G314" s="11" t="n"/>
      <c r="H314" s="13" t="n"/>
      <c r="I314" s="12" t="n"/>
      <c r="J314" s="12" t="n"/>
      <c r="K314" s="14">
        <f>IF($H314="","",TODAY()-$H314)</f>
        <v/>
      </c>
      <c r="L314" s="13" t="n"/>
      <c r="M314" s="11" t="n"/>
      <c r="N314" s="13" t="n"/>
      <c r="O314" s="11" t="n"/>
      <c r="P314" s="11" t="n"/>
      <c r="Q314" s="11" t="n"/>
      <c r="R314" s="12" t="n"/>
      <c r="S314" s="11" t="n"/>
    </row>
    <row r="315" ht="15" customHeight="1" s="21">
      <c r="A315" s="11" t="n"/>
      <c r="B315" s="11" t="n"/>
      <c r="C315" s="11" t="n"/>
      <c r="D315" s="12" t="n"/>
      <c r="E315" s="11" t="n"/>
      <c r="F315" s="11" t="n"/>
      <c r="G315" s="11" t="n"/>
      <c r="H315" s="13" t="n"/>
      <c r="I315" s="12" t="n"/>
      <c r="J315" s="12" t="n"/>
      <c r="K315" s="14">
        <f>IF($H315="","",TODAY()-$H315)</f>
        <v/>
      </c>
      <c r="L315" s="13" t="n"/>
      <c r="M315" s="11" t="n"/>
      <c r="N315" s="13" t="n"/>
      <c r="O315" s="11" t="n"/>
      <c r="P315" s="11" t="n"/>
      <c r="Q315" s="11" t="n"/>
      <c r="R315" s="12" t="n"/>
      <c r="S315" s="11" t="n"/>
    </row>
    <row r="316" ht="15" customHeight="1" s="21">
      <c r="A316" s="11" t="n"/>
      <c r="B316" s="11" t="n"/>
      <c r="C316" s="11" t="n"/>
      <c r="D316" s="12" t="n"/>
      <c r="E316" s="11" t="n"/>
      <c r="F316" s="11" t="n"/>
      <c r="G316" s="11" t="n"/>
      <c r="H316" s="13" t="n"/>
      <c r="I316" s="12" t="n"/>
      <c r="J316" s="12" t="n"/>
      <c r="K316" s="14">
        <f>IF($H316="","",TODAY()-$H316)</f>
        <v/>
      </c>
      <c r="L316" s="13" t="n"/>
      <c r="M316" s="11" t="n"/>
      <c r="N316" s="13" t="n"/>
      <c r="O316" s="11" t="n"/>
      <c r="P316" s="11" t="n"/>
      <c r="Q316" s="11" t="n"/>
      <c r="R316" s="12" t="n"/>
      <c r="S316" s="11" t="n"/>
    </row>
    <row r="317" ht="15" customHeight="1" s="21">
      <c r="A317" s="11" t="n"/>
      <c r="B317" s="11" t="n"/>
      <c r="C317" s="11" t="n"/>
      <c r="D317" s="12" t="n"/>
      <c r="E317" s="11" t="n"/>
      <c r="F317" s="11" t="n"/>
      <c r="G317" s="11" t="n"/>
      <c r="H317" s="13" t="n"/>
      <c r="I317" s="12" t="n"/>
      <c r="J317" s="12" t="n"/>
      <c r="K317" s="14">
        <f>IF($H317="","",TODAY()-$H317)</f>
        <v/>
      </c>
      <c r="L317" s="13" t="n"/>
      <c r="M317" s="11" t="n"/>
      <c r="N317" s="13" t="n"/>
      <c r="O317" s="11" t="n"/>
      <c r="P317" s="11" t="n"/>
      <c r="Q317" s="11" t="n"/>
      <c r="R317" s="12" t="n"/>
      <c r="S317" s="11" t="n"/>
    </row>
    <row r="318" ht="15" customHeight="1" s="21">
      <c r="A318" s="11" t="n"/>
      <c r="B318" s="11" t="n"/>
      <c r="C318" s="11" t="n"/>
      <c r="D318" s="12" t="n"/>
      <c r="E318" s="11" t="n"/>
      <c r="F318" s="11" t="n"/>
      <c r="G318" s="11" t="n"/>
      <c r="H318" s="13" t="n"/>
      <c r="I318" s="12" t="n"/>
      <c r="J318" s="12" t="n"/>
      <c r="K318" s="14">
        <f>IF($H318="","",TODAY()-$H318)</f>
        <v/>
      </c>
      <c r="L318" s="13" t="n"/>
      <c r="M318" s="11" t="n"/>
      <c r="N318" s="13" t="n"/>
      <c r="O318" s="11" t="n"/>
      <c r="P318" s="11" t="n"/>
      <c r="Q318" s="11" t="n"/>
      <c r="R318" s="12" t="n"/>
      <c r="S318" s="11" t="n"/>
    </row>
    <row r="319" ht="15" customHeight="1" s="21">
      <c r="A319" s="11" t="n"/>
      <c r="B319" s="11" t="n"/>
      <c r="C319" s="11" t="n"/>
      <c r="D319" s="12" t="n"/>
      <c r="E319" s="11" t="n"/>
      <c r="F319" s="11" t="n"/>
      <c r="G319" s="11" t="n"/>
      <c r="H319" s="13" t="n"/>
      <c r="I319" s="12" t="n"/>
      <c r="J319" s="12" t="n"/>
      <c r="K319" s="14">
        <f>IF($H319="","",TODAY()-$H319)</f>
        <v/>
      </c>
      <c r="L319" s="13" t="n"/>
      <c r="M319" s="11" t="n"/>
      <c r="N319" s="13" t="n"/>
      <c r="O319" s="11" t="n"/>
      <c r="P319" s="11" t="n"/>
      <c r="Q319" s="11" t="n"/>
      <c r="R319" s="12" t="n"/>
      <c r="S319" s="11" t="n"/>
    </row>
    <row r="320" ht="15" customHeight="1" s="21">
      <c r="A320" s="11" t="n"/>
      <c r="B320" s="11" t="n"/>
      <c r="C320" s="11" t="n"/>
      <c r="D320" s="12" t="n"/>
      <c r="E320" s="11" t="n"/>
      <c r="F320" s="11" t="n"/>
      <c r="G320" s="11" t="n"/>
      <c r="H320" s="13" t="n"/>
      <c r="I320" s="12" t="n"/>
      <c r="J320" s="12" t="n"/>
      <c r="K320" s="14">
        <f>IF($H320="","",TODAY()-$H320)</f>
        <v/>
      </c>
      <c r="L320" s="13" t="n"/>
      <c r="M320" s="11" t="n"/>
      <c r="N320" s="13" t="n"/>
      <c r="O320" s="11" t="n"/>
      <c r="P320" s="11" t="n"/>
      <c r="Q320" s="11" t="n"/>
      <c r="R320" s="12" t="n"/>
      <c r="S320" s="11" t="n"/>
    </row>
    <row r="321" ht="15" customHeight="1" s="21">
      <c r="A321" s="11" t="n"/>
      <c r="B321" s="11" t="n"/>
      <c r="C321" s="11" t="n"/>
      <c r="D321" s="12" t="n"/>
      <c r="E321" s="11" t="n"/>
      <c r="F321" s="11" t="n"/>
      <c r="G321" s="11" t="n"/>
      <c r="H321" s="13" t="n"/>
      <c r="I321" s="12" t="n"/>
      <c r="J321" s="12" t="n"/>
      <c r="K321" s="14">
        <f>IF($H321="","",TODAY()-$H321)</f>
        <v/>
      </c>
      <c r="L321" s="13" t="n"/>
      <c r="M321" s="11" t="n"/>
      <c r="N321" s="13" t="n"/>
      <c r="O321" s="11" t="n"/>
      <c r="P321" s="11" t="n"/>
      <c r="Q321" s="11" t="n"/>
      <c r="R321" s="12" t="n"/>
      <c r="S321" s="11" t="n"/>
    </row>
    <row r="322" ht="15" customHeight="1" s="21">
      <c r="A322" s="11" t="n"/>
      <c r="B322" s="11" t="n"/>
      <c r="C322" s="11" t="n"/>
      <c r="D322" s="12" t="n"/>
      <c r="E322" s="11" t="n"/>
      <c r="F322" s="11" t="n"/>
      <c r="G322" s="11" t="n"/>
      <c r="H322" s="13" t="n"/>
      <c r="I322" s="12" t="n"/>
      <c r="J322" s="12" t="n"/>
      <c r="K322" s="14">
        <f>IF($H322="","",TODAY()-$H322)</f>
        <v/>
      </c>
      <c r="L322" s="13" t="n"/>
      <c r="M322" s="11" t="n"/>
      <c r="N322" s="13" t="n"/>
      <c r="O322" s="11" t="n"/>
      <c r="P322" s="11" t="n"/>
      <c r="Q322" s="11" t="n"/>
      <c r="R322" s="12" t="n"/>
      <c r="S322" s="11" t="n"/>
    </row>
    <row r="323" ht="15" customHeight="1" s="21">
      <c r="A323" s="11" t="n"/>
      <c r="B323" s="11" t="n"/>
      <c r="C323" s="11" t="n"/>
      <c r="D323" s="12" t="n"/>
      <c r="E323" s="11" t="n"/>
      <c r="F323" s="11" t="n"/>
      <c r="G323" s="11" t="n"/>
      <c r="H323" s="13" t="n"/>
      <c r="I323" s="12" t="n"/>
      <c r="J323" s="12" t="n"/>
      <c r="K323" s="14">
        <f>IF($H323="","",TODAY()-$H323)</f>
        <v/>
      </c>
      <c r="L323" s="13" t="n"/>
      <c r="M323" s="11" t="n"/>
      <c r="N323" s="13" t="n"/>
      <c r="O323" s="11" t="n"/>
      <c r="P323" s="11" t="n"/>
      <c r="Q323" s="11" t="n"/>
      <c r="R323" s="12" t="n"/>
      <c r="S323" s="11" t="n"/>
    </row>
    <row r="324" ht="15" customHeight="1" s="21">
      <c r="A324" s="11" t="n"/>
      <c r="B324" s="11" t="n"/>
      <c r="C324" s="11" t="n"/>
      <c r="D324" s="12" t="n"/>
      <c r="E324" s="11" t="n"/>
      <c r="F324" s="11" t="n"/>
      <c r="G324" s="11" t="n"/>
      <c r="H324" s="13" t="n"/>
      <c r="I324" s="12" t="n"/>
      <c r="J324" s="12" t="n"/>
      <c r="K324" s="14">
        <f>IF($H324="","",TODAY()-$H324)</f>
        <v/>
      </c>
      <c r="L324" s="13" t="n"/>
      <c r="M324" s="11" t="n"/>
      <c r="N324" s="13" t="n"/>
      <c r="O324" s="11" t="n"/>
      <c r="P324" s="11" t="n"/>
      <c r="Q324" s="11" t="n"/>
      <c r="R324" s="12" t="n"/>
      <c r="S324" s="11" t="n"/>
    </row>
    <row r="325" ht="15" customHeight="1" s="21">
      <c r="A325" s="11" t="n"/>
      <c r="B325" s="11" t="n"/>
      <c r="C325" s="11" t="n"/>
      <c r="D325" s="12" t="n"/>
      <c r="E325" s="11" t="n"/>
      <c r="F325" s="11" t="n"/>
      <c r="G325" s="11" t="n"/>
      <c r="H325" s="13" t="n"/>
      <c r="I325" s="12" t="n"/>
      <c r="J325" s="12" t="n"/>
      <c r="K325" s="14">
        <f>IF($H325="","",TODAY()-$H325)</f>
        <v/>
      </c>
      <c r="L325" s="13" t="n"/>
      <c r="M325" s="11" t="n"/>
      <c r="N325" s="13" t="n"/>
      <c r="O325" s="11" t="n"/>
      <c r="P325" s="11" t="n"/>
      <c r="Q325" s="11" t="n"/>
      <c r="R325" s="12" t="n"/>
      <c r="S325" s="11" t="n"/>
    </row>
    <row r="326" ht="15" customHeight="1" s="21">
      <c r="A326" s="11" t="n"/>
      <c r="B326" s="11" t="n"/>
      <c r="C326" s="11" t="n"/>
      <c r="D326" s="12" t="n"/>
      <c r="E326" s="11" t="n"/>
      <c r="F326" s="11" t="n"/>
      <c r="G326" s="11" t="n"/>
      <c r="H326" s="13" t="n"/>
      <c r="I326" s="12" t="n"/>
      <c r="J326" s="12" t="n"/>
      <c r="K326" s="14">
        <f>IF($H326="","",TODAY()-$H326)</f>
        <v/>
      </c>
      <c r="L326" s="13" t="n"/>
      <c r="M326" s="11" t="n"/>
      <c r="N326" s="13" t="n"/>
      <c r="O326" s="11" t="n"/>
      <c r="P326" s="11" t="n"/>
      <c r="Q326" s="11" t="n"/>
      <c r="R326" s="12" t="n"/>
      <c r="S326" s="11" t="n"/>
    </row>
    <row r="327" ht="15" customHeight="1" s="21">
      <c r="A327" s="11" t="n"/>
      <c r="B327" s="11" t="n"/>
      <c r="C327" s="11" t="n"/>
      <c r="D327" s="12" t="n"/>
      <c r="E327" s="11" t="n"/>
      <c r="F327" s="11" t="n"/>
      <c r="G327" s="11" t="n"/>
      <c r="H327" s="13" t="n"/>
      <c r="I327" s="12" t="n"/>
      <c r="J327" s="12" t="n"/>
      <c r="K327" s="14">
        <f>IF($H327="","",TODAY()-$H327)</f>
        <v/>
      </c>
      <c r="L327" s="13" t="n"/>
      <c r="M327" s="11" t="n"/>
      <c r="N327" s="13" t="n"/>
      <c r="O327" s="11" t="n"/>
      <c r="P327" s="11" t="n"/>
      <c r="Q327" s="11" t="n"/>
      <c r="R327" s="12" t="n"/>
      <c r="S327" s="11" t="n"/>
    </row>
    <row r="328" ht="15" customHeight="1" s="21">
      <c r="A328" s="11" t="n"/>
      <c r="B328" s="11" t="n"/>
      <c r="C328" s="11" t="n"/>
      <c r="D328" s="12" t="n"/>
      <c r="E328" s="11" t="n"/>
      <c r="F328" s="11" t="n"/>
      <c r="G328" s="11" t="n"/>
      <c r="H328" s="13" t="n"/>
      <c r="I328" s="12" t="n"/>
      <c r="J328" s="12" t="n"/>
      <c r="K328" s="14">
        <f>IF($H328="","",TODAY()-$H328)</f>
        <v/>
      </c>
      <c r="L328" s="13" t="n"/>
      <c r="M328" s="11" t="n"/>
      <c r="N328" s="13" t="n"/>
      <c r="O328" s="11" t="n"/>
      <c r="P328" s="11" t="n"/>
      <c r="Q328" s="11" t="n"/>
      <c r="R328" s="12" t="n"/>
      <c r="S328" s="11" t="n"/>
    </row>
    <row r="329" ht="15" customHeight="1" s="21">
      <c r="A329" s="11" t="n"/>
      <c r="B329" s="11" t="n"/>
      <c r="C329" s="11" t="n"/>
      <c r="D329" s="12" t="n"/>
      <c r="E329" s="11" t="n"/>
      <c r="F329" s="11" t="n"/>
      <c r="G329" s="11" t="n"/>
      <c r="H329" s="13" t="n"/>
      <c r="I329" s="12" t="n"/>
      <c r="J329" s="12" t="n"/>
      <c r="K329" s="14">
        <f>IF($H329="","",TODAY()-$H329)</f>
        <v/>
      </c>
      <c r="L329" s="13" t="n"/>
      <c r="M329" s="11" t="n"/>
      <c r="N329" s="13" t="n"/>
      <c r="O329" s="11" t="n"/>
      <c r="P329" s="11" t="n"/>
      <c r="Q329" s="11" t="n"/>
      <c r="R329" s="12" t="n"/>
      <c r="S329" s="11" t="n"/>
    </row>
    <row r="330" ht="15" customHeight="1" s="21">
      <c r="A330" s="11" t="n"/>
      <c r="B330" s="11" t="n"/>
      <c r="C330" s="11" t="n"/>
      <c r="D330" s="12" t="n"/>
      <c r="E330" s="11" t="n"/>
      <c r="F330" s="11" t="n"/>
      <c r="G330" s="11" t="n"/>
      <c r="H330" s="13" t="n"/>
      <c r="I330" s="12" t="n"/>
      <c r="J330" s="12" t="n"/>
      <c r="K330" s="14">
        <f>IF($H330="","",TODAY()-$H330)</f>
        <v/>
      </c>
      <c r="L330" s="13" t="n"/>
      <c r="M330" s="11" t="n"/>
      <c r="N330" s="13" t="n"/>
      <c r="O330" s="11" t="n"/>
      <c r="P330" s="11" t="n"/>
      <c r="Q330" s="11" t="n"/>
      <c r="R330" s="12" t="n"/>
      <c r="S330" s="11" t="n"/>
    </row>
    <row r="331" ht="15" customHeight="1" s="21">
      <c r="A331" s="11" t="n"/>
      <c r="B331" s="11" t="n"/>
      <c r="C331" s="11" t="n"/>
      <c r="D331" s="12" t="n"/>
      <c r="E331" s="11" t="n"/>
      <c r="F331" s="11" t="n"/>
      <c r="G331" s="11" t="n"/>
      <c r="H331" s="13" t="n"/>
      <c r="I331" s="12" t="n"/>
      <c r="J331" s="12" t="n"/>
      <c r="K331" s="14">
        <f>IF($H331="","",TODAY()-$H331)</f>
        <v/>
      </c>
      <c r="L331" s="13" t="n"/>
      <c r="M331" s="11" t="n"/>
      <c r="N331" s="13" t="n"/>
      <c r="O331" s="11" t="n"/>
      <c r="P331" s="11" t="n"/>
      <c r="Q331" s="11" t="n"/>
      <c r="R331" s="12" t="n"/>
      <c r="S331" s="11" t="n"/>
    </row>
    <row r="332" ht="15" customHeight="1" s="21">
      <c r="A332" s="11" t="n"/>
      <c r="B332" s="11" t="n"/>
      <c r="C332" s="11" t="n"/>
      <c r="D332" s="12" t="n"/>
      <c r="E332" s="11" t="n"/>
      <c r="F332" s="11" t="n"/>
      <c r="G332" s="11" t="n"/>
      <c r="H332" s="13" t="n"/>
      <c r="I332" s="12" t="n"/>
      <c r="J332" s="12" t="n"/>
      <c r="K332" s="14">
        <f>IF($H332="","",TODAY()-$H332)</f>
        <v/>
      </c>
      <c r="L332" s="13" t="n"/>
      <c r="M332" s="11" t="n"/>
      <c r="N332" s="13" t="n"/>
      <c r="O332" s="11" t="n"/>
      <c r="P332" s="11" t="n"/>
      <c r="Q332" s="11" t="n"/>
      <c r="R332" s="12" t="n"/>
      <c r="S332" s="11" t="n"/>
    </row>
    <row r="333" ht="15" customHeight="1" s="21">
      <c r="A333" s="11" t="n"/>
      <c r="B333" s="11" t="n"/>
      <c r="C333" s="11" t="n"/>
      <c r="D333" s="12" t="n"/>
      <c r="E333" s="11" t="n"/>
      <c r="F333" s="11" t="n"/>
      <c r="G333" s="11" t="n"/>
      <c r="H333" s="13" t="n"/>
      <c r="I333" s="12" t="n"/>
      <c r="J333" s="12" t="n"/>
      <c r="K333" s="14">
        <f>IF($H333="","",TODAY()-$H333)</f>
        <v/>
      </c>
      <c r="L333" s="13" t="n"/>
      <c r="M333" s="11" t="n"/>
      <c r="N333" s="13" t="n"/>
      <c r="O333" s="11" t="n"/>
      <c r="P333" s="11" t="n"/>
      <c r="Q333" s="11" t="n"/>
      <c r="R333" s="12" t="n"/>
      <c r="S333" s="11" t="n"/>
    </row>
    <row r="334" ht="15" customHeight="1" s="21">
      <c r="A334" s="11" t="n"/>
      <c r="B334" s="11" t="n"/>
      <c r="C334" s="11" t="n"/>
      <c r="D334" s="12" t="n"/>
      <c r="E334" s="11" t="n"/>
      <c r="F334" s="11" t="n"/>
      <c r="G334" s="11" t="n"/>
      <c r="H334" s="13" t="n"/>
      <c r="I334" s="12" t="n"/>
      <c r="J334" s="12" t="n"/>
      <c r="K334" s="14">
        <f>IF($H334="","",TODAY()-$H334)</f>
        <v/>
      </c>
      <c r="L334" s="13" t="n"/>
      <c r="M334" s="11" t="n"/>
      <c r="N334" s="13" t="n"/>
      <c r="O334" s="11" t="n"/>
      <c r="P334" s="11" t="n"/>
      <c r="Q334" s="11" t="n"/>
      <c r="R334" s="12" t="n"/>
      <c r="S334" s="11" t="n"/>
    </row>
    <row r="335" ht="15" customHeight="1" s="21">
      <c r="A335" s="11" t="n"/>
      <c r="B335" s="11" t="n"/>
      <c r="C335" s="11" t="n"/>
      <c r="D335" s="12" t="n"/>
      <c r="E335" s="11" t="n"/>
      <c r="F335" s="11" t="n"/>
      <c r="G335" s="11" t="n"/>
      <c r="H335" s="13" t="n"/>
      <c r="I335" s="12" t="n"/>
      <c r="J335" s="12" t="n"/>
      <c r="K335" s="14">
        <f>IF($H335="","",TODAY()-$H335)</f>
        <v/>
      </c>
      <c r="L335" s="13" t="n"/>
      <c r="M335" s="11" t="n"/>
      <c r="N335" s="13" t="n"/>
      <c r="O335" s="11" t="n"/>
      <c r="P335" s="11" t="n"/>
      <c r="Q335" s="11" t="n"/>
      <c r="R335" s="12" t="n"/>
      <c r="S335" s="11" t="n"/>
    </row>
    <row r="336" ht="15" customHeight="1" s="21">
      <c r="A336" s="11" t="n"/>
      <c r="B336" s="11" t="n"/>
      <c r="C336" s="11" t="n"/>
      <c r="D336" s="12" t="n"/>
      <c r="E336" s="11" t="n"/>
      <c r="F336" s="11" t="n"/>
      <c r="G336" s="11" t="n"/>
      <c r="H336" s="13" t="n"/>
      <c r="I336" s="12" t="n"/>
      <c r="J336" s="12" t="n"/>
      <c r="K336" s="14">
        <f>IF($H336="","",TODAY()-$H336)</f>
        <v/>
      </c>
      <c r="L336" s="13" t="n"/>
      <c r="M336" s="11" t="n"/>
      <c r="N336" s="13" t="n"/>
      <c r="O336" s="11" t="n"/>
      <c r="P336" s="11" t="n"/>
      <c r="Q336" s="11" t="n"/>
      <c r="R336" s="12" t="n"/>
      <c r="S336" s="11" t="n"/>
    </row>
    <row r="337" ht="15" customHeight="1" s="21">
      <c r="A337" s="11" t="n"/>
      <c r="B337" s="11" t="n"/>
      <c r="C337" s="11" t="n"/>
      <c r="D337" s="12" t="n"/>
      <c r="E337" s="11" t="n"/>
      <c r="F337" s="11" t="n"/>
      <c r="G337" s="11" t="n"/>
      <c r="H337" s="13" t="n"/>
      <c r="I337" s="12" t="n"/>
      <c r="J337" s="12" t="n"/>
      <c r="K337" s="14">
        <f>IF($H337="","",TODAY()-$H337)</f>
        <v/>
      </c>
      <c r="L337" s="13" t="n"/>
      <c r="M337" s="11" t="n"/>
      <c r="N337" s="13" t="n"/>
      <c r="O337" s="11" t="n"/>
      <c r="P337" s="11" t="n"/>
      <c r="Q337" s="11" t="n"/>
      <c r="R337" s="12" t="n"/>
      <c r="S337" s="11" t="n"/>
    </row>
    <row r="338" ht="15" customHeight="1" s="21">
      <c r="A338" s="11" t="n"/>
      <c r="B338" s="11" t="n"/>
      <c r="C338" s="11" t="n"/>
      <c r="D338" s="12" t="n"/>
      <c r="E338" s="11" t="n"/>
      <c r="F338" s="11" t="n"/>
      <c r="G338" s="11" t="n"/>
      <c r="H338" s="13" t="n"/>
      <c r="I338" s="12" t="n"/>
      <c r="J338" s="12" t="n"/>
      <c r="K338" s="14">
        <f>IF($H338="","",TODAY()-$H338)</f>
        <v/>
      </c>
      <c r="L338" s="13" t="n"/>
      <c r="M338" s="11" t="n"/>
      <c r="N338" s="13" t="n"/>
      <c r="O338" s="11" t="n"/>
      <c r="P338" s="11" t="n"/>
      <c r="Q338" s="11" t="n"/>
      <c r="R338" s="12" t="n"/>
      <c r="S338" s="11" t="n"/>
    </row>
    <row r="339" ht="15" customHeight="1" s="21">
      <c r="A339" s="11" t="n"/>
      <c r="B339" s="11" t="n"/>
      <c r="C339" s="11" t="n"/>
      <c r="D339" s="12" t="n"/>
      <c r="E339" s="11" t="n"/>
      <c r="F339" s="11" t="n"/>
      <c r="G339" s="11" t="n"/>
      <c r="H339" s="13" t="n"/>
      <c r="I339" s="12" t="n"/>
      <c r="J339" s="12" t="n"/>
      <c r="K339" s="14">
        <f>IF($H339="","",TODAY()-$H339)</f>
        <v/>
      </c>
      <c r="L339" s="13" t="n"/>
      <c r="M339" s="11" t="n"/>
      <c r="N339" s="13" t="n"/>
      <c r="O339" s="11" t="n"/>
      <c r="P339" s="11" t="n"/>
      <c r="Q339" s="11" t="n"/>
      <c r="R339" s="12" t="n"/>
      <c r="S339" s="11" t="n"/>
    </row>
    <row r="340" ht="15" customHeight="1" s="21">
      <c r="A340" s="11" t="n"/>
      <c r="B340" s="11" t="n"/>
      <c r="C340" s="11" t="n"/>
      <c r="D340" s="12" t="n"/>
      <c r="E340" s="11" t="n"/>
      <c r="F340" s="11" t="n"/>
      <c r="G340" s="11" t="n"/>
      <c r="H340" s="13" t="n"/>
      <c r="I340" s="12" t="n"/>
      <c r="J340" s="12" t="n"/>
      <c r="K340" s="14">
        <f>IF($H340="","",TODAY()-$H340)</f>
        <v/>
      </c>
      <c r="L340" s="13" t="n"/>
      <c r="M340" s="11" t="n"/>
      <c r="N340" s="13" t="n"/>
      <c r="O340" s="11" t="n"/>
      <c r="P340" s="11" t="n"/>
      <c r="Q340" s="11" t="n"/>
      <c r="R340" s="12" t="n"/>
      <c r="S340" s="11" t="n"/>
    </row>
    <row r="341" ht="15" customHeight="1" s="21">
      <c r="A341" s="11" t="n"/>
      <c r="B341" s="11" t="n"/>
      <c r="C341" s="11" t="n"/>
      <c r="D341" s="12" t="n"/>
      <c r="E341" s="11" t="n"/>
      <c r="F341" s="11" t="n"/>
      <c r="G341" s="11" t="n"/>
      <c r="H341" s="13" t="n"/>
      <c r="I341" s="12" t="n"/>
      <c r="J341" s="12" t="n"/>
      <c r="K341" s="14">
        <f>IF($H341="","",TODAY()-$H341)</f>
        <v/>
      </c>
      <c r="L341" s="13" t="n"/>
      <c r="M341" s="11" t="n"/>
      <c r="N341" s="13" t="n"/>
      <c r="O341" s="11" t="n"/>
      <c r="P341" s="11" t="n"/>
      <c r="Q341" s="11" t="n"/>
      <c r="R341" s="12" t="n"/>
      <c r="S341" s="11" t="n"/>
    </row>
    <row r="342" ht="15" customHeight="1" s="21">
      <c r="A342" s="11" t="n"/>
      <c r="B342" s="11" t="n"/>
      <c r="C342" s="11" t="n"/>
      <c r="D342" s="12" t="n"/>
      <c r="E342" s="11" t="n"/>
      <c r="F342" s="11" t="n"/>
      <c r="G342" s="11" t="n"/>
      <c r="H342" s="13" t="n"/>
      <c r="I342" s="12" t="n"/>
      <c r="J342" s="12" t="n"/>
      <c r="K342" s="14">
        <f>IF($H342="","",TODAY()-$H342)</f>
        <v/>
      </c>
      <c r="L342" s="13" t="n"/>
      <c r="M342" s="11" t="n"/>
      <c r="N342" s="13" t="n"/>
      <c r="O342" s="11" t="n"/>
      <c r="P342" s="11" t="n"/>
      <c r="Q342" s="11" t="n"/>
      <c r="R342" s="12" t="n"/>
      <c r="S342" s="11" t="n"/>
    </row>
    <row r="343" ht="15" customHeight="1" s="21">
      <c r="A343" s="11" t="n"/>
      <c r="B343" s="11" t="n"/>
      <c r="C343" s="11" t="n"/>
      <c r="D343" s="12" t="n"/>
      <c r="E343" s="11" t="n"/>
      <c r="F343" s="11" t="n"/>
      <c r="G343" s="11" t="n"/>
      <c r="H343" s="13" t="n"/>
      <c r="I343" s="12" t="n"/>
      <c r="J343" s="12" t="n"/>
      <c r="K343" s="14">
        <f>IF($H343="","",TODAY()-$H343)</f>
        <v/>
      </c>
      <c r="L343" s="13" t="n"/>
      <c r="M343" s="11" t="n"/>
      <c r="N343" s="13" t="n"/>
      <c r="O343" s="11" t="n"/>
      <c r="P343" s="11" t="n"/>
      <c r="Q343" s="11" t="n"/>
      <c r="R343" s="12" t="n"/>
      <c r="S343" s="11" t="n"/>
    </row>
    <row r="344" ht="15" customHeight="1" s="21">
      <c r="A344" s="11" t="n"/>
      <c r="B344" s="11" t="n"/>
      <c r="C344" s="11" t="n"/>
      <c r="D344" s="12" t="n"/>
      <c r="E344" s="11" t="n"/>
      <c r="F344" s="11" t="n"/>
      <c r="G344" s="11" t="n"/>
      <c r="H344" s="13" t="n"/>
      <c r="I344" s="12" t="n"/>
      <c r="J344" s="12" t="n"/>
      <c r="K344" s="14">
        <f>IF($H344="","",TODAY()-$H344)</f>
        <v/>
      </c>
      <c r="L344" s="13" t="n"/>
      <c r="M344" s="11" t="n"/>
      <c r="N344" s="13" t="n"/>
      <c r="O344" s="11" t="n"/>
      <c r="P344" s="11" t="n"/>
      <c r="Q344" s="11" t="n"/>
      <c r="R344" s="12" t="n"/>
      <c r="S344" s="11" t="n"/>
    </row>
    <row r="345" ht="15" customHeight="1" s="21">
      <c r="A345" s="11" t="n"/>
      <c r="B345" s="11" t="n"/>
      <c r="C345" s="11" t="n"/>
      <c r="D345" s="12" t="n"/>
      <c r="E345" s="11" t="n"/>
      <c r="F345" s="11" t="n"/>
      <c r="G345" s="11" t="n"/>
      <c r="H345" s="13" t="n"/>
      <c r="I345" s="12" t="n"/>
      <c r="J345" s="12" t="n"/>
      <c r="K345" s="14">
        <f>IF($H345="","",TODAY()-$H345)</f>
        <v/>
      </c>
      <c r="L345" s="13" t="n"/>
      <c r="M345" s="11" t="n"/>
      <c r="N345" s="13" t="n"/>
      <c r="O345" s="11" t="n"/>
      <c r="P345" s="11" t="n"/>
      <c r="Q345" s="11" t="n"/>
      <c r="R345" s="12" t="n"/>
      <c r="S345" s="11" t="n"/>
    </row>
    <row r="346" ht="15" customHeight="1" s="21">
      <c r="A346" s="11" t="n"/>
      <c r="B346" s="11" t="n"/>
      <c r="C346" s="11" t="n"/>
      <c r="D346" s="12" t="n"/>
      <c r="E346" s="11" t="n"/>
      <c r="F346" s="11" t="n"/>
      <c r="G346" s="11" t="n"/>
      <c r="H346" s="13" t="n"/>
      <c r="I346" s="12" t="n"/>
      <c r="J346" s="12" t="n"/>
      <c r="K346" s="14">
        <f>IF($H346="","",TODAY()-$H346)</f>
        <v/>
      </c>
      <c r="L346" s="13" t="n"/>
      <c r="M346" s="11" t="n"/>
      <c r="N346" s="13" t="n"/>
      <c r="O346" s="11" t="n"/>
      <c r="P346" s="11" t="n"/>
      <c r="Q346" s="11" t="n"/>
      <c r="R346" s="12" t="n"/>
      <c r="S346" s="11" t="n"/>
    </row>
    <row r="347" ht="15" customHeight="1" s="21">
      <c r="A347" s="11" t="n"/>
      <c r="B347" s="11" t="n"/>
      <c r="C347" s="11" t="n"/>
      <c r="D347" s="12" t="n"/>
      <c r="E347" s="11" t="n"/>
      <c r="F347" s="11" t="n"/>
      <c r="G347" s="11" t="n"/>
      <c r="H347" s="13" t="n"/>
      <c r="I347" s="12" t="n"/>
      <c r="J347" s="12" t="n"/>
      <c r="K347" s="14">
        <f>IF($H347="","",TODAY()-$H347)</f>
        <v/>
      </c>
      <c r="L347" s="13" t="n"/>
      <c r="M347" s="11" t="n"/>
      <c r="N347" s="13" t="n"/>
      <c r="O347" s="11" t="n"/>
      <c r="P347" s="11" t="n"/>
      <c r="Q347" s="11" t="n"/>
      <c r="R347" s="12" t="n"/>
      <c r="S347" s="11" t="n"/>
    </row>
    <row r="348" ht="15" customHeight="1" s="21">
      <c r="A348" s="11" t="n"/>
      <c r="B348" s="11" t="n"/>
      <c r="C348" s="11" t="n"/>
      <c r="D348" s="12" t="n"/>
      <c r="E348" s="11" t="n"/>
      <c r="F348" s="11" t="n"/>
      <c r="G348" s="11" t="n"/>
      <c r="H348" s="13" t="n"/>
      <c r="I348" s="12" t="n"/>
      <c r="J348" s="12" t="n"/>
      <c r="K348" s="14">
        <f>IF($H348="","",TODAY()-$H348)</f>
        <v/>
      </c>
      <c r="L348" s="13" t="n"/>
      <c r="M348" s="11" t="n"/>
      <c r="N348" s="13" t="n"/>
      <c r="O348" s="11" t="n"/>
      <c r="P348" s="11" t="n"/>
      <c r="Q348" s="11" t="n"/>
      <c r="R348" s="12" t="n"/>
      <c r="S348" s="11" t="n"/>
    </row>
    <row r="349" ht="15" customHeight="1" s="21">
      <c r="A349" s="11" t="n"/>
      <c r="B349" s="11" t="n"/>
      <c r="C349" s="11" t="n"/>
      <c r="D349" s="12" t="n"/>
      <c r="E349" s="11" t="n"/>
      <c r="F349" s="11" t="n"/>
      <c r="G349" s="11" t="n"/>
      <c r="H349" s="13" t="n"/>
      <c r="I349" s="12" t="n"/>
      <c r="J349" s="12" t="n"/>
      <c r="K349" s="14">
        <f>IF($H349="","",TODAY()-$H349)</f>
        <v/>
      </c>
      <c r="L349" s="13" t="n"/>
      <c r="M349" s="11" t="n"/>
      <c r="N349" s="13" t="n"/>
      <c r="O349" s="11" t="n"/>
      <c r="P349" s="11" t="n"/>
      <c r="Q349" s="11" t="n"/>
      <c r="R349" s="12" t="n"/>
      <c r="S349" s="11" t="n"/>
    </row>
    <row r="350" ht="15" customHeight="1" s="21">
      <c r="A350" s="11" t="n"/>
      <c r="B350" s="11" t="n"/>
      <c r="C350" s="11" t="n"/>
      <c r="D350" s="12" t="n"/>
      <c r="E350" s="11" t="n"/>
      <c r="F350" s="11" t="n"/>
      <c r="G350" s="11" t="n"/>
      <c r="H350" s="13" t="n"/>
      <c r="I350" s="12" t="n"/>
      <c r="J350" s="12" t="n"/>
      <c r="K350" s="14">
        <f>IF($H350="","",TODAY()-$H350)</f>
        <v/>
      </c>
      <c r="L350" s="13" t="n"/>
      <c r="M350" s="11" t="n"/>
      <c r="N350" s="13" t="n"/>
      <c r="O350" s="11" t="n"/>
      <c r="P350" s="11" t="n"/>
      <c r="Q350" s="11" t="n"/>
      <c r="R350" s="12" t="n"/>
      <c r="S350" s="11" t="n"/>
    </row>
    <row r="351" ht="15" customHeight="1" s="21">
      <c r="A351" s="11" t="n"/>
      <c r="B351" s="11" t="n"/>
      <c r="C351" s="11" t="n"/>
      <c r="D351" s="12" t="n"/>
      <c r="E351" s="11" t="n"/>
      <c r="F351" s="11" t="n"/>
      <c r="G351" s="11" t="n"/>
      <c r="H351" s="13" t="n"/>
      <c r="I351" s="12" t="n"/>
      <c r="J351" s="12" t="n"/>
      <c r="K351" s="14">
        <f>IF($H351="","",TODAY()-$H351)</f>
        <v/>
      </c>
      <c r="L351" s="13" t="n"/>
      <c r="M351" s="11" t="n"/>
      <c r="N351" s="13" t="n"/>
      <c r="O351" s="11" t="n"/>
      <c r="P351" s="11" t="n"/>
      <c r="Q351" s="11" t="n"/>
      <c r="R351" s="12" t="n"/>
      <c r="S351" s="11" t="n"/>
    </row>
    <row r="352" ht="15" customHeight="1" s="21">
      <c r="A352" s="11" t="n"/>
      <c r="B352" s="11" t="n"/>
      <c r="C352" s="11" t="n"/>
      <c r="D352" s="12" t="n"/>
      <c r="E352" s="11" t="n"/>
      <c r="F352" s="11" t="n"/>
      <c r="G352" s="11" t="n"/>
      <c r="H352" s="13" t="n"/>
      <c r="I352" s="12" t="n"/>
      <c r="J352" s="12" t="n"/>
      <c r="K352" s="14">
        <f>IF($H352="","",TODAY()-$H352)</f>
        <v/>
      </c>
      <c r="L352" s="13" t="n"/>
      <c r="M352" s="11" t="n"/>
      <c r="N352" s="13" t="n"/>
      <c r="O352" s="11" t="n"/>
      <c r="P352" s="11" t="n"/>
      <c r="Q352" s="11" t="n"/>
      <c r="R352" s="12" t="n"/>
      <c r="S352" s="11" t="n"/>
    </row>
    <row r="353" ht="15" customHeight="1" s="21">
      <c r="A353" s="11" t="n"/>
      <c r="B353" s="11" t="n"/>
      <c r="C353" s="11" t="n"/>
      <c r="D353" s="12" t="n"/>
      <c r="E353" s="11" t="n"/>
      <c r="F353" s="11" t="n"/>
      <c r="G353" s="11" t="n"/>
      <c r="H353" s="13" t="n"/>
      <c r="I353" s="12" t="n"/>
      <c r="J353" s="12" t="n"/>
      <c r="K353" s="14">
        <f>IF($H353="","",TODAY()-$H353)</f>
        <v/>
      </c>
      <c r="L353" s="13" t="n"/>
      <c r="M353" s="11" t="n"/>
      <c r="N353" s="13" t="n"/>
      <c r="O353" s="11" t="n"/>
      <c r="P353" s="11" t="n"/>
      <c r="Q353" s="11" t="n"/>
      <c r="R353" s="12" t="n"/>
      <c r="S353" s="11" t="n"/>
    </row>
    <row r="354" ht="15" customHeight="1" s="21">
      <c r="A354" s="11" t="n"/>
      <c r="B354" s="11" t="n"/>
      <c r="C354" s="11" t="n"/>
      <c r="D354" s="12" t="n"/>
      <c r="E354" s="11" t="n"/>
      <c r="F354" s="11" t="n"/>
      <c r="G354" s="11" t="n"/>
      <c r="H354" s="13" t="n"/>
      <c r="I354" s="12" t="n"/>
      <c r="J354" s="12" t="n"/>
      <c r="K354" s="14">
        <f>IF($H354="","",TODAY()-$H354)</f>
        <v/>
      </c>
      <c r="L354" s="13" t="n"/>
      <c r="M354" s="11" t="n"/>
      <c r="N354" s="13" t="n"/>
      <c r="O354" s="11" t="n"/>
      <c r="P354" s="11" t="n"/>
      <c r="Q354" s="11" t="n"/>
      <c r="R354" s="12" t="n"/>
      <c r="S354" s="11" t="n"/>
    </row>
    <row r="355" ht="15" customHeight="1" s="21">
      <c r="A355" s="11" t="n"/>
      <c r="B355" s="11" t="n"/>
      <c r="C355" s="11" t="n"/>
      <c r="D355" s="12" t="n"/>
      <c r="E355" s="11" t="n"/>
      <c r="F355" s="11" t="n"/>
      <c r="G355" s="11" t="n"/>
      <c r="H355" s="13" t="n"/>
      <c r="I355" s="12" t="n"/>
      <c r="J355" s="12" t="n"/>
      <c r="K355" s="14">
        <f>IF($H355="","",TODAY()-$H355)</f>
        <v/>
      </c>
      <c r="L355" s="13" t="n"/>
      <c r="M355" s="11" t="n"/>
      <c r="N355" s="13" t="n"/>
      <c r="O355" s="11" t="n"/>
      <c r="P355" s="11" t="n"/>
      <c r="Q355" s="11" t="n"/>
      <c r="R355" s="12" t="n"/>
      <c r="S355" s="11" t="n"/>
    </row>
    <row r="356" ht="15" customHeight="1" s="21">
      <c r="A356" s="11" t="n"/>
      <c r="B356" s="11" t="n"/>
      <c r="C356" s="11" t="n"/>
      <c r="D356" s="12" t="n"/>
      <c r="E356" s="11" t="n"/>
      <c r="F356" s="11" t="n"/>
      <c r="G356" s="11" t="n"/>
      <c r="H356" s="13" t="n"/>
      <c r="I356" s="12" t="n"/>
      <c r="J356" s="12" t="n"/>
      <c r="K356" s="14">
        <f>IF($H356="","",TODAY()-$H356)</f>
        <v/>
      </c>
      <c r="L356" s="13" t="n"/>
      <c r="M356" s="11" t="n"/>
      <c r="N356" s="13" t="n"/>
      <c r="O356" s="11" t="n"/>
      <c r="P356" s="11" t="n"/>
      <c r="Q356" s="11" t="n"/>
      <c r="R356" s="12" t="n"/>
      <c r="S356" s="11" t="n"/>
    </row>
    <row r="357" ht="15" customHeight="1" s="21">
      <c r="A357" s="11" t="n"/>
      <c r="B357" s="11" t="n"/>
      <c r="C357" s="11" t="n"/>
      <c r="D357" s="12" t="n"/>
      <c r="E357" s="11" t="n"/>
      <c r="F357" s="11" t="n"/>
      <c r="G357" s="11" t="n"/>
      <c r="H357" s="13" t="n"/>
      <c r="I357" s="12" t="n"/>
      <c r="J357" s="12" t="n"/>
      <c r="K357" s="14">
        <f>IF($H357="","",TODAY()-$H357)</f>
        <v/>
      </c>
      <c r="L357" s="13" t="n"/>
      <c r="M357" s="11" t="n"/>
      <c r="N357" s="13" t="n"/>
      <c r="O357" s="11" t="n"/>
      <c r="P357" s="11" t="n"/>
      <c r="Q357" s="11" t="n"/>
      <c r="R357" s="12" t="n"/>
      <c r="S357" s="11" t="n"/>
    </row>
    <row r="358" ht="15" customHeight="1" s="21">
      <c r="A358" s="11" t="n"/>
      <c r="B358" s="11" t="n"/>
      <c r="C358" s="11" t="n"/>
      <c r="D358" s="12" t="n"/>
      <c r="E358" s="11" t="n"/>
      <c r="F358" s="11" t="n"/>
      <c r="G358" s="11" t="n"/>
      <c r="H358" s="13" t="n"/>
      <c r="I358" s="12" t="n"/>
      <c r="J358" s="12" t="n"/>
      <c r="K358" s="14">
        <f>IF($H358="","",TODAY()-$H358)</f>
        <v/>
      </c>
      <c r="L358" s="13" t="n"/>
      <c r="M358" s="11" t="n"/>
      <c r="N358" s="13" t="n"/>
      <c r="O358" s="11" t="n"/>
      <c r="P358" s="11" t="n"/>
      <c r="Q358" s="11" t="n"/>
      <c r="R358" s="12" t="n"/>
      <c r="S358" s="11" t="n"/>
    </row>
    <row r="359" ht="15" customHeight="1" s="21">
      <c r="A359" s="11" t="n"/>
      <c r="B359" s="11" t="n"/>
      <c r="C359" s="11" t="n"/>
      <c r="D359" s="12" t="n"/>
      <c r="E359" s="11" t="n"/>
      <c r="F359" s="11" t="n"/>
      <c r="G359" s="11" t="n"/>
      <c r="H359" s="13" t="n"/>
      <c r="I359" s="12" t="n"/>
      <c r="J359" s="12" t="n"/>
      <c r="K359" s="14">
        <f>IF($H359="","",TODAY()-$H359)</f>
        <v/>
      </c>
      <c r="L359" s="13" t="n"/>
      <c r="M359" s="11" t="n"/>
      <c r="N359" s="13" t="n"/>
      <c r="O359" s="11" t="n"/>
      <c r="P359" s="11" t="n"/>
      <c r="Q359" s="11" t="n"/>
      <c r="R359" s="12" t="n"/>
      <c r="S359" s="11" t="n"/>
    </row>
    <row r="360" ht="15" customHeight="1" s="21">
      <c r="A360" s="11" t="n"/>
      <c r="B360" s="11" t="n"/>
      <c r="C360" s="11" t="n"/>
      <c r="D360" s="12" t="n"/>
      <c r="E360" s="11" t="n"/>
      <c r="F360" s="11" t="n"/>
      <c r="G360" s="11" t="n"/>
      <c r="H360" s="13" t="n"/>
      <c r="I360" s="12" t="n"/>
      <c r="J360" s="12" t="n"/>
      <c r="K360" s="14">
        <f>IF($H360="","",TODAY()-$H360)</f>
        <v/>
      </c>
      <c r="L360" s="13" t="n"/>
      <c r="M360" s="11" t="n"/>
      <c r="N360" s="13" t="n"/>
      <c r="O360" s="11" t="n"/>
      <c r="P360" s="11" t="n"/>
      <c r="Q360" s="11" t="n"/>
      <c r="R360" s="12" t="n"/>
      <c r="S360" s="11" t="n"/>
    </row>
    <row r="361" ht="15" customHeight="1" s="21">
      <c r="A361" s="11" t="n"/>
      <c r="B361" s="11" t="n"/>
      <c r="C361" s="11" t="n"/>
      <c r="D361" s="12" t="n"/>
      <c r="E361" s="11" t="n"/>
      <c r="F361" s="11" t="n"/>
      <c r="G361" s="11" t="n"/>
      <c r="H361" s="13" t="n"/>
      <c r="I361" s="12" t="n"/>
      <c r="J361" s="12" t="n"/>
      <c r="K361" s="14">
        <f>IF($H361="","",TODAY()-$H361)</f>
        <v/>
      </c>
      <c r="L361" s="13" t="n"/>
      <c r="M361" s="11" t="n"/>
      <c r="N361" s="13" t="n"/>
      <c r="O361" s="11" t="n"/>
      <c r="P361" s="11" t="n"/>
      <c r="Q361" s="11" t="n"/>
      <c r="R361" s="12" t="n"/>
      <c r="S361" s="11" t="n"/>
    </row>
    <row r="362" ht="15" customHeight="1" s="21">
      <c r="A362" s="11" t="n"/>
      <c r="B362" s="11" t="n"/>
      <c r="C362" s="11" t="n"/>
      <c r="D362" s="12" t="n"/>
      <c r="E362" s="11" t="n"/>
      <c r="F362" s="11" t="n"/>
      <c r="G362" s="11" t="n"/>
      <c r="H362" s="13" t="n"/>
      <c r="I362" s="12" t="n"/>
      <c r="J362" s="12" t="n"/>
      <c r="K362" s="14">
        <f>IF($H362="","",TODAY()-$H362)</f>
        <v/>
      </c>
      <c r="L362" s="13" t="n"/>
      <c r="M362" s="11" t="n"/>
      <c r="N362" s="13" t="n"/>
      <c r="O362" s="11" t="n"/>
      <c r="P362" s="11" t="n"/>
      <c r="Q362" s="11" t="n"/>
      <c r="R362" s="12" t="n"/>
      <c r="S362" s="11" t="n"/>
    </row>
    <row r="363" ht="15" customHeight="1" s="21">
      <c r="A363" s="11" t="n"/>
      <c r="B363" s="11" t="n"/>
      <c r="C363" s="11" t="n"/>
      <c r="D363" s="12" t="n"/>
      <c r="E363" s="11" t="n"/>
      <c r="F363" s="11" t="n"/>
      <c r="G363" s="11" t="n"/>
      <c r="H363" s="13" t="n"/>
      <c r="I363" s="12" t="n"/>
      <c r="J363" s="12" t="n"/>
      <c r="K363" s="14">
        <f>IF($H363="","",TODAY()-$H363)</f>
        <v/>
      </c>
      <c r="L363" s="13" t="n"/>
      <c r="M363" s="11" t="n"/>
      <c r="N363" s="13" t="n"/>
      <c r="O363" s="11" t="n"/>
      <c r="P363" s="11" t="n"/>
      <c r="Q363" s="11" t="n"/>
      <c r="R363" s="12" t="n"/>
      <c r="S363" s="11" t="n"/>
    </row>
    <row r="364" ht="15" customHeight="1" s="21">
      <c r="A364" s="11" t="n"/>
      <c r="B364" s="11" t="n"/>
      <c r="C364" s="11" t="n"/>
      <c r="D364" s="12" t="n"/>
      <c r="E364" s="11" t="n"/>
      <c r="F364" s="11" t="n"/>
      <c r="G364" s="11" t="n"/>
      <c r="H364" s="13" t="n"/>
      <c r="I364" s="12" t="n"/>
      <c r="J364" s="12" t="n"/>
      <c r="K364" s="14">
        <f>IF($H364="","",TODAY()-$H364)</f>
        <v/>
      </c>
      <c r="L364" s="13" t="n"/>
      <c r="M364" s="11" t="n"/>
      <c r="N364" s="13" t="n"/>
      <c r="O364" s="11" t="n"/>
      <c r="P364" s="11" t="n"/>
      <c r="Q364" s="11" t="n"/>
      <c r="R364" s="12" t="n"/>
      <c r="S364" s="11" t="n"/>
    </row>
    <row r="365" ht="15" customHeight="1" s="21">
      <c r="A365" s="11" t="n"/>
      <c r="B365" s="11" t="n"/>
      <c r="C365" s="11" t="n"/>
      <c r="D365" s="12" t="n"/>
      <c r="E365" s="11" t="n"/>
      <c r="F365" s="11" t="n"/>
      <c r="G365" s="11" t="n"/>
      <c r="H365" s="13" t="n"/>
      <c r="I365" s="12" t="n"/>
      <c r="J365" s="12" t="n"/>
      <c r="K365" s="14">
        <f>IF($H365="","",TODAY()-$H365)</f>
        <v/>
      </c>
      <c r="L365" s="13" t="n"/>
      <c r="M365" s="11" t="n"/>
      <c r="N365" s="13" t="n"/>
      <c r="O365" s="11" t="n"/>
      <c r="P365" s="11" t="n"/>
      <c r="Q365" s="11" t="n"/>
      <c r="R365" s="12" t="n"/>
      <c r="S365" s="11" t="n"/>
    </row>
    <row r="366" ht="15" customHeight="1" s="21">
      <c r="A366" s="11" t="n"/>
      <c r="B366" s="11" t="n"/>
      <c r="C366" s="11" t="n"/>
      <c r="D366" s="12" t="n"/>
      <c r="E366" s="11" t="n"/>
      <c r="F366" s="11" t="n"/>
      <c r="G366" s="11" t="n"/>
      <c r="H366" s="13" t="n"/>
      <c r="I366" s="12" t="n"/>
      <c r="J366" s="12" t="n"/>
      <c r="K366" s="14">
        <f>IF($H366="","",TODAY()-$H366)</f>
        <v/>
      </c>
      <c r="L366" s="13" t="n"/>
      <c r="M366" s="11" t="n"/>
      <c r="N366" s="13" t="n"/>
      <c r="O366" s="11" t="n"/>
      <c r="P366" s="11" t="n"/>
      <c r="Q366" s="11" t="n"/>
      <c r="R366" s="12" t="n"/>
      <c r="S366" s="11" t="n"/>
    </row>
    <row r="367" ht="15" customHeight="1" s="21">
      <c r="A367" s="11" t="n"/>
      <c r="B367" s="11" t="n"/>
      <c r="C367" s="11" t="n"/>
      <c r="D367" s="12" t="n"/>
      <c r="E367" s="11" t="n"/>
      <c r="F367" s="11" t="n"/>
      <c r="G367" s="11" t="n"/>
      <c r="H367" s="13" t="n"/>
      <c r="I367" s="12" t="n"/>
      <c r="J367" s="12" t="n"/>
      <c r="K367" s="14">
        <f>IF($H367="","",TODAY()-$H367)</f>
        <v/>
      </c>
      <c r="L367" s="13" t="n"/>
      <c r="M367" s="11" t="n"/>
      <c r="N367" s="13" t="n"/>
      <c r="O367" s="11" t="n"/>
      <c r="P367" s="11" t="n"/>
      <c r="Q367" s="11" t="n"/>
      <c r="R367" s="12" t="n"/>
      <c r="S367" s="11" t="n"/>
    </row>
    <row r="368" ht="15" customHeight="1" s="21">
      <c r="A368" s="11" t="n"/>
      <c r="B368" s="11" t="n"/>
      <c r="C368" s="11" t="n"/>
      <c r="D368" s="12" t="n"/>
      <c r="E368" s="11" t="n"/>
      <c r="F368" s="11" t="n"/>
      <c r="G368" s="11" t="n"/>
      <c r="H368" s="13" t="n"/>
      <c r="I368" s="12" t="n"/>
      <c r="J368" s="12" t="n"/>
      <c r="K368" s="14">
        <f>IF($H368="","",TODAY()-$H368)</f>
        <v/>
      </c>
      <c r="L368" s="13" t="n"/>
      <c r="M368" s="11" t="n"/>
      <c r="N368" s="13" t="n"/>
      <c r="O368" s="11" t="n"/>
      <c r="P368" s="11" t="n"/>
      <c r="Q368" s="11" t="n"/>
      <c r="R368" s="12" t="n"/>
      <c r="S368" s="11" t="n"/>
    </row>
    <row r="369" ht="15" customHeight="1" s="21">
      <c r="A369" s="11" t="n"/>
      <c r="B369" s="11" t="n"/>
      <c r="C369" s="11" t="n"/>
      <c r="D369" s="12" t="n"/>
      <c r="E369" s="11" t="n"/>
      <c r="F369" s="11" t="n"/>
      <c r="G369" s="11" t="n"/>
      <c r="H369" s="13" t="n"/>
      <c r="I369" s="12" t="n"/>
      <c r="J369" s="12" t="n"/>
      <c r="K369" s="14">
        <f>IF($H369="","",TODAY()-$H369)</f>
        <v/>
      </c>
      <c r="L369" s="13" t="n"/>
      <c r="M369" s="11" t="n"/>
      <c r="N369" s="13" t="n"/>
      <c r="O369" s="11" t="n"/>
      <c r="P369" s="11" t="n"/>
      <c r="Q369" s="11" t="n"/>
      <c r="R369" s="12" t="n"/>
      <c r="S369" s="11" t="n"/>
    </row>
    <row r="370" ht="15" customHeight="1" s="21">
      <c r="A370" s="11" t="n"/>
      <c r="B370" s="11" t="n"/>
      <c r="C370" s="11" t="n"/>
      <c r="D370" s="12" t="n"/>
      <c r="E370" s="11" t="n"/>
      <c r="F370" s="11" t="n"/>
      <c r="G370" s="11" t="n"/>
      <c r="H370" s="13" t="n"/>
      <c r="I370" s="12" t="n"/>
      <c r="J370" s="12" t="n"/>
      <c r="K370" s="14">
        <f>IF($H370="","",TODAY()-$H370)</f>
        <v/>
      </c>
      <c r="L370" s="13" t="n"/>
      <c r="M370" s="11" t="n"/>
      <c r="N370" s="13" t="n"/>
      <c r="O370" s="11" t="n"/>
      <c r="P370" s="11" t="n"/>
      <c r="Q370" s="11" t="n"/>
      <c r="R370" s="12" t="n"/>
      <c r="S370" s="11" t="n"/>
    </row>
    <row r="371" ht="15" customHeight="1" s="21">
      <c r="A371" s="11" t="n"/>
      <c r="B371" s="11" t="n"/>
      <c r="C371" s="11" t="n"/>
      <c r="D371" s="12" t="n"/>
      <c r="E371" s="11" t="n"/>
      <c r="F371" s="11" t="n"/>
      <c r="G371" s="11" t="n"/>
      <c r="H371" s="13" t="n"/>
      <c r="I371" s="12" t="n"/>
      <c r="J371" s="12" t="n"/>
      <c r="K371" s="14">
        <f>IF($H371="","",TODAY()-$H371)</f>
        <v/>
      </c>
      <c r="L371" s="13" t="n"/>
      <c r="M371" s="11" t="n"/>
      <c r="N371" s="13" t="n"/>
      <c r="O371" s="11" t="n"/>
      <c r="P371" s="11" t="n"/>
      <c r="Q371" s="11" t="n"/>
      <c r="R371" s="12" t="n"/>
      <c r="S371" s="11" t="n"/>
    </row>
    <row r="372" ht="15" customHeight="1" s="21">
      <c r="A372" s="11" t="n"/>
      <c r="B372" s="11" t="n"/>
      <c r="C372" s="11" t="n"/>
      <c r="D372" s="12" t="n"/>
      <c r="E372" s="11" t="n"/>
      <c r="F372" s="11" t="n"/>
      <c r="G372" s="11" t="n"/>
      <c r="H372" s="13" t="n"/>
      <c r="I372" s="12" t="n"/>
      <c r="J372" s="12" t="n"/>
      <c r="K372" s="14">
        <f>IF($H372="","",TODAY()-$H372)</f>
        <v/>
      </c>
      <c r="L372" s="13" t="n"/>
      <c r="M372" s="11" t="n"/>
      <c r="N372" s="13" t="n"/>
      <c r="O372" s="11" t="n"/>
      <c r="P372" s="11" t="n"/>
      <c r="Q372" s="11" t="n"/>
      <c r="R372" s="12" t="n"/>
      <c r="S372" s="11" t="n"/>
    </row>
    <row r="373" ht="15" customHeight="1" s="21">
      <c r="A373" s="11" t="n"/>
      <c r="B373" s="11" t="n"/>
      <c r="C373" s="11" t="n"/>
      <c r="D373" s="12" t="n"/>
      <c r="E373" s="11" t="n"/>
      <c r="F373" s="11" t="n"/>
      <c r="G373" s="11" t="n"/>
      <c r="H373" s="13" t="n"/>
      <c r="I373" s="12" t="n"/>
      <c r="J373" s="12" t="n"/>
      <c r="K373" s="14">
        <f>IF($H373="","",TODAY()-$H373)</f>
        <v/>
      </c>
      <c r="L373" s="13" t="n"/>
      <c r="M373" s="11" t="n"/>
      <c r="N373" s="13" t="n"/>
      <c r="O373" s="11" t="n"/>
      <c r="P373" s="11" t="n"/>
      <c r="Q373" s="11" t="n"/>
      <c r="R373" s="12" t="n"/>
      <c r="S373" s="11" t="n"/>
    </row>
    <row r="374" ht="15" customHeight="1" s="21">
      <c r="A374" s="11" t="n"/>
      <c r="B374" s="11" t="n"/>
      <c r="C374" s="11" t="n"/>
      <c r="D374" s="12" t="n"/>
      <c r="E374" s="11" t="n"/>
      <c r="F374" s="11" t="n"/>
      <c r="G374" s="11" t="n"/>
      <c r="H374" s="13" t="n"/>
      <c r="I374" s="12" t="n"/>
      <c r="J374" s="12" t="n"/>
      <c r="K374" s="14">
        <f>IF($H374="","",TODAY()-$H374)</f>
        <v/>
      </c>
      <c r="L374" s="13" t="n"/>
      <c r="M374" s="11" t="n"/>
      <c r="N374" s="13" t="n"/>
      <c r="O374" s="11" t="n"/>
      <c r="P374" s="11" t="n"/>
      <c r="Q374" s="11" t="n"/>
      <c r="R374" s="12" t="n"/>
      <c r="S374" s="11" t="n"/>
    </row>
    <row r="375" ht="15" customHeight="1" s="21">
      <c r="A375" s="11" t="n"/>
      <c r="B375" s="11" t="n"/>
      <c r="C375" s="11" t="n"/>
      <c r="D375" s="12" t="n"/>
      <c r="E375" s="11" t="n"/>
      <c r="F375" s="11" t="n"/>
      <c r="G375" s="11" t="n"/>
      <c r="H375" s="13" t="n"/>
      <c r="I375" s="12" t="n"/>
      <c r="J375" s="12" t="n"/>
      <c r="K375" s="14">
        <f>IF($H375="","",TODAY()-$H375)</f>
        <v/>
      </c>
      <c r="L375" s="13" t="n"/>
      <c r="M375" s="11" t="n"/>
      <c r="N375" s="13" t="n"/>
      <c r="O375" s="11" t="n"/>
      <c r="P375" s="11" t="n"/>
      <c r="Q375" s="11" t="n"/>
      <c r="R375" s="12" t="n"/>
      <c r="S375" s="11" t="n"/>
    </row>
    <row r="376" ht="15" customHeight="1" s="21">
      <c r="A376" s="11" t="n"/>
      <c r="B376" s="11" t="n"/>
      <c r="C376" s="11" t="n"/>
      <c r="D376" s="12" t="n"/>
      <c r="E376" s="11" t="n"/>
      <c r="F376" s="11" t="n"/>
      <c r="G376" s="11" t="n"/>
      <c r="H376" s="13" t="n"/>
      <c r="I376" s="12" t="n"/>
      <c r="J376" s="12" t="n"/>
      <c r="K376" s="14">
        <f>IF($H376="","",TODAY()-$H376)</f>
        <v/>
      </c>
      <c r="L376" s="13" t="n"/>
      <c r="M376" s="11" t="n"/>
      <c r="N376" s="13" t="n"/>
      <c r="O376" s="11" t="n"/>
      <c r="P376" s="11" t="n"/>
      <c r="Q376" s="11" t="n"/>
      <c r="R376" s="12" t="n"/>
      <c r="S376" s="11" t="n"/>
    </row>
    <row r="377" ht="15" customHeight="1" s="21">
      <c r="A377" s="11" t="n"/>
      <c r="B377" s="11" t="n"/>
      <c r="C377" s="11" t="n"/>
      <c r="D377" s="12" t="n"/>
      <c r="E377" s="11" t="n"/>
      <c r="F377" s="11" t="n"/>
      <c r="G377" s="11" t="n"/>
      <c r="H377" s="13" t="n"/>
      <c r="I377" s="12" t="n"/>
      <c r="J377" s="12" t="n"/>
      <c r="K377" s="14">
        <f>IF($H377="","",TODAY()-$H377)</f>
        <v/>
      </c>
      <c r="L377" s="13" t="n"/>
      <c r="M377" s="11" t="n"/>
      <c r="N377" s="13" t="n"/>
      <c r="O377" s="11" t="n"/>
      <c r="P377" s="11" t="n"/>
      <c r="Q377" s="11" t="n"/>
      <c r="R377" s="12" t="n"/>
      <c r="S377" s="11" t="n"/>
    </row>
    <row r="378" ht="15" customHeight="1" s="21">
      <c r="A378" s="11" t="n"/>
      <c r="B378" s="11" t="n"/>
      <c r="C378" s="11" t="n"/>
      <c r="D378" s="12" t="n"/>
      <c r="E378" s="11" t="n"/>
      <c r="F378" s="11" t="n"/>
      <c r="G378" s="11" t="n"/>
      <c r="H378" s="13" t="n"/>
      <c r="I378" s="12" t="n"/>
      <c r="J378" s="12" t="n"/>
      <c r="K378" s="14">
        <f>IF($H378="","",TODAY()-$H378)</f>
        <v/>
      </c>
      <c r="L378" s="13" t="n"/>
      <c r="M378" s="11" t="n"/>
      <c r="N378" s="13" t="n"/>
      <c r="O378" s="11" t="n"/>
      <c r="P378" s="11" t="n"/>
      <c r="Q378" s="11" t="n"/>
      <c r="R378" s="12" t="n"/>
      <c r="S378" s="11" t="n"/>
    </row>
    <row r="379" ht="15" customHeight="1" s="21">
      <c r="A379" s="11" t="n"/>
      <c r="B379" s="11" t="n"/>
      <c r="C379" s="11" t="n"/>
      <c r="D379" s="12" t="n"/>
      <c r="E379" s="11" t="n"/>
      <c r="F379" s="11" t="n"/>
      <c r="G379" s="11" t="n"/>
      <c r="H379" s="13" t="n"/>
      <c r="I379" s="12" t="n"/>
      <c r="J379" s="12" t="n"/>
      <c r="K379" s="14">
        <f>IF($H379="","",TODAY()-$H379)</f>
        <v/>
      </c>
      <c r="L379" s="13" t="n"/>
      <c r="M379" s="11" t="n"/>
      <c r="N379" s="13" t="n"/>
      <c r="O379" s="11" t="n"/>
      <c r="P379" s="11" t="n"/>
      <c r="Q379" s="11" t="n"/>
      <c r="R379" s="12" t="n"/>
      <c r="S379" s="11" t="n"/>
    </row>
    <row r="380" ht="15" customHeight="1" s="21">
      <c r="A380" s="11" t="n"/>
      <c r="B380" s="11" t="n"/>
      <c r="C380" s="11" t="n"/>
      <c r="D380" s="12" t="n"/>
      <c r="E380" s="11" t="n"/>
      <c r="F380" s="11" t="n"/>
      <c r="G380" s="11" t="n"/>
      <c r="H380" s="13" t="n"/>
      <c r="I380" s="12" t="n"/>
      <c r="J380" s="12" t="n"/>
      <c r="K380" s="14">
        <f>IF($H380="","",TODAY()-$H380)</f>
        <v/>
      </c>
      <c r="L380" s="13" t="n"/>
      <c r="M380" s="11" t="n"/>
      <c r="N380" s="13" t="n"/>
      <c r="O380" s="11" t="n"/>
      <c r="P380" s="11" t="n"/>
      <c r="Q380" s="11" t="n"/>
      <c r="R380" s="12" t="n"/>
      <c r="S380" s="11" t="n"/>
    </row>
    <row r="381" ht="15" customHeight="1" s="21">
      <c r="A381" s="11" t="n"/>
      <c r="B381" s="11" t="n"/>
      <c r="C381" s="11" t="n"/>
      <c r="D381" s="12" t="n"/>
      <c r="E381" s="11" t="n"/>
      <c r="F381" s="11" t="n"/>
      <c r="G381" s="11" t="n"/>
      <c r="H381" s="13" t="n"/>
      <c r="I381" s="12" t="n"/>
      <c r="J381" s="12" t="n"/>
      <c r="K381" s="14">
        <f>IF($H381="","",TODAY()-$H381)</f>
        <v/>
      </c>
      <c r="L381" s="13" t="n"/>
      <c r="M381" s="11" t="n"/>
      <c r="N381" s="13" t="n"/>
      <c r="O381" s="11" t="n"/>
      <c r="P381" s="11" t="n"/>
      <c r="Q381" s="11" t="n"/>
      <c r="R381" s="12" t="n"/>
      <c r="S381" s="11" t="n"/>
    </row>
    <row r="382" ht="15" customHeight="1" s="21">
      <c r="A382" s="11" t="n"/>
      <c r="B382" s="11" t="n"/>
      <c r="C382" s="11" t="n"/>
      <c r="D382" s="12" t="n"/>
      <c r="E382" s="11" t="n"/>
      <c r="F382" s="11" t="n"/>
      <c r="G382" s="11" t="n"/>
      <c r="H382" s="13" t="n"/>
      <c r="I382" s="12" t="n"/>
      <c r="J382" s="12" t="n"/>
      <c r="K382" s="14">
        <f>IF($H382="","",TODAY()-$H382)</f>
        <v/>
      </c>
      <c r="L382" s="13" t="n"/>
      <c r="M382" s="11" t="n"/>
      <c r="N382" s="13" t="n"/>
      <c r="O382" s="11" t="n"/>
      <c r="P382" s="11" t="n"/>
      <c r="Q382" s="11" t="n"/>
      <c r="R382" s="12" t="n"/>
      <c r="S382" s="11" t="n"/>
    </row>
    <row r="383" ht="15" customHeight="1" s="21">
      <c r="A383" s="11" t="n"/>
      <c r="B383" s="11" t="n"/>
      <c r="C383" s="11" t="n"/>
      <c r="D383" s="12" t="n"/>
      <c r="E383" s="11" t="n"/>
      <c r="F383" s="11" t="n"/>
      <c r="G383" s="11" t="n"/>
      <c r="H383" s="13" t="n"/>
      <c r="I383" s="12" t="n"/>
      <c r="J383" s="12" t="n"/>
      <c r="K383" s="14">
        <f>IF($H383="","",TODAY()-$H383)</f>
        <v/>
      </c>
      <c r="L383" s="13" t="n"/>
      <c r="M383" s="11" t="n"/>
      <c r="N383" s="13" t="n"/>
      <c r="O383" s="11" t="n"/>
      <c r="P383" s="11" t="n"/>
      <c r="Q383" s="11" t="n"/>
      <c r="R383" s="12" t="n"/>
      <c r="S383" s="11" t="n"/>
    </row>
    <row r="384" ht="15" customHeight="1" s="21">
      <c r="A384" s="11" t="n"/>
      <c r="B384" s="11" t="n"/>
      <c r="C384" s="11" t="n"/>
      <c r="D384" s="12" t="n"/>
      <c r="E384" s="11" t="n"/>
      <c r="F384" s="11" t="n"/>
      <c r="G384" s="11" t="n"/>
      <c r="H384" s="13" t="n"/>
      <c r="I384" s="12" t="n"/>
      <c r="J384" s="12" t="n"/>
      <c r="K384" s="14">
        <f>IF($H384="","",TODAY()-$H384)</f>
        <v/>
      </c>
      <c r="L384" s="13" t="n"/>
      <c r="M384" s="11" t="n"/>
      <c r="N384" s="13" t="n"/>
      <c r="O384" s="11" t="n"/>
      <c r="P384" s="11" t="n"/>
      <c r="Q384" s="11" t="n"/>
      <c r="R384" s="12" t="n"/>
      <c r="S384" s="11" t="n"/>
    </row>
    <row r="385" ht="15" customHeight="1" s="21">
      <c r="A385" s="11" t="n"/>
      <c r="B385" s="11" t="n"/>
      <c r="C385" s="11" t="n"/>
      <c r="D385" s="12" t="n"/>
      <c r="E385" s="11" t="n"/>
      <c r="F385" s="11" t="n"/>
      <c r="G385" s="11" t="n"/>
      <c r="H385" s="13" t="n"/>
      <c r="I385" s="12" t="n"/>
      <c r="J385" s="12" t="n"/>
      <c r="K385" s="14">
        <f>IF($H385="","",TODAY()-$H385)</f>
        <v/>
      </c>
      <c r="L385" s="13" t="n"/>
      <c r="M385" s="11" t="n"/>
      <c r="N385" s="13" t="n"/>
      <c r="O385" s="11" t="n"/>
      <c r="P385" s="11" t="n"/>
      <c r="Q385" s="11" t="n"/>
      <c r="R385" s="12" t="n"/>
      <c r="S385" s="11" t="n"/>
    </row>
    <row r="386" ht="15" customHeight="1" s="21">
      <c r="A386" s="11" t="n"/>
      <c r="B386" s="11" t="n"/>
      <c r="C386" s="11" t="n"/>
      <c r="D386" s="12" t="n"/>
      <c r="E386" s="11" t="n"/>
      <c r="F386" s="11" t="n"/>
      <c r="G386" s="11" t="n"/>
      <c r="H386" s="13" t="n"/>
      <c r="I386" s="12" t="n"/>
      <c r="J386" s="12" t="n"/>
      <c r="K386" s="14">
        <f>IF($H386="","",TODAY()-$H386)</f>
        <v/>
      </c>
      <c r="L386" s="13" t="n"/>
      <c r="M386" s="11" t="n"/>
      <c r="N386" s="13" t="n"/>
      <c r="O386" s="11" t="n"/>
      <c r="P386" s="11" t="n"/>
      <c r="Q386" s="11" t="n"/>
      <c r="R386" s="12" t="n"/>
      <c r="S386" s="11" t="n"/>
    </row>
    <row r="387" ht="15" customHeight="1" s="21">
      <c r="A387" s="11" t="n"/>
      <c r="B387" s="11" t="n"/>
      <c r="C387" s="11" t="n"/>
      <c r="D387" s="12" t="n"/>
      <c r="E387" s="11" t="n"/>
      <c r="F387" s="11" t="n"/>
      <c r="G387" s="11" t="n"/>
      <c r="H387" s="13" t="n"/>
      <c r="I387" s="12" t="n"/>
      <c r="J387" s="12" t="n"/>
      <c r="K387" s="14">
        <f>IF($H387="","",TODAY()-$H387)</f>
        <v/>
      </c>
      <c r="L387" s="13" t="n"/>
      <c r="M387" s="11" t="n"/>
      <c r="N387" s="13" t="n"/>
      <c r="O387" s="11" t="n"/>
      <c r="P387" s="11" t="n"/>
      <c r="Q387" s="11" t="n"/>
      <c r="R387" s="12" t="n"/>
      <c r="S387" s="11" t="n"/>
    </row>
    <row r="388" ht="15" customHeight="1" s="21">
      <c r="A388" s="11" t="n"/>
      <c r="B388" s="11" t="n"/>
      <c r="C388" s="11" t="n"/>
      <c r="D388" s="12" t="n"/>
      <c r="E388" s="11" t="n"/>
      <c r="F388" s="11" t="n"/>
      <c r="G388" s="11" t="n"/>
      <c r="H388" s="13" t="n"/>
      <c r="I388" s="12" t="n"/>
      <c r="J388" s="12" t="n"/>
      <c r="K388" s="14">
        <f>IF($H388="","",TODAY()-$H388)</f>
        <v/>
      </c>
      <c r="L388" s="13" t="n"/>
      <c r="M388" s="11" t="n"/>
      <c r="N388" s="13" t="n"/>
      <c r="O388" s="11" t="n"/>
      <c r="P388" s="11" t="n"/>
      <c r="Q388" s="11" t="n"/>
      <c r="R388" s="12" t="n"/>
      <c r="S388" s="11" t="n"/>
    </row>
    <row r="389" ht="15" customHeight="1" s="21">
      <c r="A389" s="11" t="n"/>
      <c r="B389" s="11" t="n"/>
      <c r="C389" s="11" t="n"/>
      <c r="D389" s="12" t="n"/>
      <c r="E389" s="11" t="n"/>
      <c r="F389" s="11" t="n"/>
      <c r="G389" s="11" t="n"/>
      <c r="H389" s="13" t="n"/>
      <c r="I389" s="12" t="n"/>
      <c r="J389" s="12" t="n"/>
      <c r="K389" s="14">
        <f>IF($H389="","",TODAY()-$H389)</f>
        <v/>
      </c>
      <c r="L389" s="13" t="n"/>
      <c r="M389" s="11" t="n"/>
      <c r="N389" s="13" t="n"/>
      <c r="O389" s="11" t="n"/>
      <c r="P389" s="11" t="n"/>
      <c r="Q389" s="11" t="n"/>
      <c r="R389" s="12" t="n"/>
      <c r="S389" s="11" t="n"/>
    </row>
    <row r="390" ht="15" customHeight="1" s="21">
      <c r="A390" s="11" t="n"/>
      <c r="B390" s="11" t="n"/>
      <c r="C390" s="11" t="n"/>
      <c r="D390" s="12" t="n"/>
      <c r="E390" s="11" t="n"/>
      <c r="F390" s="11" t="n"/>
      <c r="G390" s="11" t="n"/>
      <c r="H390" s="13" t="n"/>
      <c r="I390" s="12" t="n"/>
      <c r="J390" s="12" t="n"/>
      <c r="K390" s="14">
        <f>IF($H390="","",TODAY()-$H390)</f>
        <v/>
      </c>
      <c r="L390" s="13" t="n"/>
      <c r="M390" s="11" t="n"/>
      <c r="N390" s="13" t="n"/>
      <c r="O390" s="11" t="n"/>
      <c r="P390" s="11" t="n"/>
      <c r="Q390" s="11" t="n"/>
      <c r="R390" s="12" t="n"/>
      <c r="S390" s="11" t="n"/>
    </row>
    <row r="391" ht="15" customHeight="1" s="21">
      <c r="A391" s="11" t="n"/>
      <c r="B391" s="11" t="n"/>
      <c r="C391" s="11" t="n"/>
      <c r="D391" s="12" t="n"/>
      <c r="E391" s="11" t="n"/>
      <c r="F391" s="11" t="n"/>
      <c r="G391" s="11" t="n"/>
      <c r="H391" s="13" t="n"/>
      <c r="I391" s="12" t="n"/>
      <c r="J391" s="12" t="n"/>
      <c r="K391" s="14">
        <f>IF($H391="","",TODAY()-$H391)</f>
        <v/>
      </c>
      <c r="L391" s="13" t="n"/>
      <c r="M391" s="11" t="n"/>
      <c r="N391" s="13" t="n"/>
      <c r="O391" s="11" t="n"/>
      <c r="P391" s="11" t="n"/>
      <c r="Q391" s="11" t="n"/>
      <c r="R391" s="12" t="n"/>
      <c r="S391" s="11" t="n"/>
    </row>
    <row r="392" ht="15" customHeight="1" s="21">
      <c r="A392" s="11" t="n"/>
      <c r="B392" s="11" t="n"/>
      <c r="C392" s="11" t="n"/>
      <c r="D392" s="12" t="n"/>
      <c r="E392" s="11" t="n"/>
      <c r="F392" s="11" t="n"/>
      <c r="G392" s="11" t="n"/>
      <c r="H392" s="13" t="n"/>
      <c r="I392" s="12" t="n"/>
      <c r="J392" s="12" t="n"/>
      <c r="K392" s="14">
        <f>IF($H392="","",TODAY()-$H392)</f>
        <v/>
      </c>
      <c r="L392" s="13" t="n"/>
      <c r="M392" s="11" t="n"/>
      <c r="N392" s="13" t="n"/>
      <c r="O392" s="11" t="n"/>
      <c r="P392" s="11" t="n"/>
      <c r="Q392" s="11" t="n"/>
      <c r="R392" s="12" t="n"/>
      <c r="S392" s="11" t="n"/>
    </row>
    <row r="393" ht="15" customHeight="1" s="21">
      <c r="A393" s="11" t="n"/>
      <c r="B393" s="11" t="n"/>
      <c r="C393" s="11" t="n"/>
      <c r="D393" s="12" t="n"/>
      <c r="E393" s="11" t="n"/>
      <c r="F393" s="11" t="n"/>
      <c r="G393" s="11" t="n"/>
      <c r="H393" s="13" t="n"/>
      <c r="I393" s="12" t="n"/>
      <c r="J393" s="12" t="n"/>
      <c r="K393" s="14">
        <f>IF($H393="","",TODAY()-$H393)</f>
        <v/>
      </c>
      <c r="L393" s="13" t="n"/>
      <c r="M393" s="11" t="n"/>
      <c r="N393" s="13" t="n"/>
      <c r="O393" s="11" t="n"/>
      <c r="P393" s="11" t="n"/>
      <c r="Q393" s="11" t="n"/>
      <c r="R393" s="12" t="n"/>
      <c r="S393" s="11" t="n"/>
    </row>
    <row r="394" ht="15" customHeight="1" s="21">
      <c r="A394" s="11" t="n"/>
      <c r="B394" s="11" t="n"/>
      <c r="C394" s="11" t="n"/>
      <c r="D394" s="12" t="n"/>
      <c r="E394" s="11" t="n"/>
      <c r="F394" s="11" t="n"/>
      <c r="G394" s="11" t="n"/>
      <c r="H394" s="13" t="n"/>
      <c r="I394" s="12" t="n"/>
      <c r="J394" s="12" t="n"/>
      <c r="K394" s="14">
        <f>IF($H394="","",TODAY()-$H394)</f>
        <v/>
      </c>
      <c r="L394" s="13" t="n"/>
      <c r="M394" s="11" t="n"/>
      <c r="N394" s="13" t="n"/>
      <c r="O394" s="11" t="n"/>
      <c r="P394" s="11" t="n"/>
      <c r="Q394" s="11" t="n"/>
      <c r="R394" s="12" t="n"/>
      <c r="S394" s="11" t="n"/>
    </row>
    <row r="395" ht="15" customHeight="1" s="21">
      <c r="A395" s="11" t="n"/>
      <c r="B395" s="11" t="n"/>
      <c r="C395" s="11" t="n"/>
      <c r="D395" s="12" t="n"/>
      <c r="E395" s="11" t="n"/>
      <c r="F395" s="11" t="n"/>
      <c r="G395" s="11" t="n"/>
      <c r="H395" s="13" t="n"/>
      <c r="I395" s="12" t="n"/>
      <c r="J395" s="12" t="n"/>
      <c r="K395" s="14">
        <f>IF($H395="","",TODAY()-$H395)</f>
        <v/>
      </c>
      <c r="L395" s="13" t="n"/>
      <c r="M395" s="11" t="n"/>
      <c r="N395" s="13" t="n"/>
      <c r="O395" s="11" t="n"/>
      <c r="P395" s="11" t="n"/>
      <c r="Q395" s="11" t="n"/>
      <c r="R395" s="12" t="n"/>
      <c r="S395" s="11" t="n"/>
    </row>
    <row r="396" ht="15" customHeight="1" s="21">
      <c r="A396" s="11" t="n"/>
      <c r="B396" s="11" t="n"/>
      <c r="C396" s="11" t="n"/>
      <c r="D396" s="12" t="n"/>
      <c r="E396" s="11" t="n"/>
      <c r="F396" s="11" t="n"/>
      <c r="G396" s="11" t="n"/>
      <c r="H396" s="13" t="n"/>
      <c r="I396" s="12" t="n"/>
      <c r="J396" s="12" t="n"/>
      <c r="K396" s="14">
        <f>IF($H396="","",TODAY()-$H396)</f>
        <v/>
      </c>
      <c r="L396" s="13" t="n"/>
      <c r="M396" s="11" t="n"/>
      <c r="N396" s="13" t="n"/>
      <c r="O396" s="11" t="n"/>
      <c r="P396" s="11" t="n"/>
      <c r="Q396" s="11" t="n"/>
      <c r="R396" s="12" t="n"/>
      <c r="S396" s="11" t="n"/>
    </row>
    <row r="397" ht="15" customHeight="1" s="21">
      <c r="A397" s="11" t="n"/>
      <c r="B397" s="11" t="n"/>
      <c r="C397" s="11" t="n"/>
      <c r="D397" s="12" t="n"/>
      <c r="E397" s="11" t="n"/>
      <c r="F397" s="11" t="n"/>
      <c r="G397" s="11" t="n"/>
      <c r="H397" s="13" t="n"/>
      <c r="I397" s="12" t="n"/>
      <c r="J397" s="12" t="n"/>
      <c r="K397" s="14">
        <f>IF($H397="","",TODAY()-$H397)</f>
        <v/>
      </c>
      <c r="L397" s="13" t="n"/>
      <c r="M397" s="11" t="n"/>
      <c r="N397" s="13" t="n"/>
      <c r="O397" s="11" t="n"/>
      <c r="P397" s="11" t="n"/>
      <c r="Q397" s="11" t="n"/>
      <c r="R397" s="12" t="n"/>
      <c r="S397" s="11" t="n"/>
    </row>
    <row r="398" ht="15" customHeight="1" s="21">
      <c r="A398" s="11" t="n"/>
      <c r="B398" s="11" t="n"/>
      <c r="C398" s="11" t="n"/>
      <c r="D398" s="12" t="n"/>
      <c r="E398" s="11" t="n"/>
      <c r="F398" s="11" t="n"/>
      <c r="G398" s="11" t="n"/>
      <c r="H398" s="13" t="n"/>
      <c r="I398" s="12" t="n"/>
      <c r="J398" s="12" t="n"/>
      <c r="K398" s="14">
        <f>IF($H398="","",TODAY()-$H398)</f>
        <v/>
      </c>
      <c r="L398" s="13" t="n"/>
      <c r="M398" s="11" t="n"/>
      <c r="N398" s="13" t="n"/>
      <c r="O398" s="11" t="n"/>
      <c r="P398" s="11" t="n"/>
      <c r="Q398" s="11" t="n"/>
      <c r="R398" s="12" t="n"/>
      <c r="S398" s="11" t="n"/>
    </row>
    <row r="399" ht="15" customHeight="1" s="21">
      <c r="A399" s="11" t="n"/>
      <c r="B399" s="11" t="n"/>
      <c r="C399" s="11" t="n"/>
      <c r="D399" s="12" t="n"/>
      <c r="E399" s="11" t="n"/>
      <c r="F399" s="11" t="n"/>
      <c r="G399" s="11" t="n"/>
      <c r="H399" s="13" t="n"/>
      <c r="I399" s="12" t="n"/>
      <c r="J399" s="12" t="n"/>
      <c r="K399" s="14">
        <f>IF($H399="","",TODAY()-$H399)</f>
        <v/>
      </c>
      <c r="L399" s="13" t="n"/>
      <c r="M399" s="11" t="n"/>
      <c r="N399" s="13" t="n"/>
      <c r="O399" s="11" t="n"/>
      <c r="P399" s="11" t="n"/>
      <c r="Q399" s="11" t="n"/>
      <c r="R399" s="12" t="n"/>
      <c r="S399" s="11" t="n"/>
    </row>
    <row r="400" ht="15" customHeight="1" s="21">
      <c r="A400" s="11" t="n"/>
      <c r="B400" s="11" t="n"/>
      <c r="C400" s="11" t="n"/>
      <c r="D400" s="12" t="n"/>
      <c r="E400" s="11" t="n"/>
      <c r="F400" s="11" t="n"/>
      <c r="G400" s="11" t="n"/>
      <c r="H400" s="13" t="n"/>
      <c r="I400" s="12" t="n"/>
      <c r="J400" s="12" t="n"/>
      <c r="K400" s="14">
        <f>IF($H400="","",TODAY()-$H400)</f>
        <v/>
      </c>
      <c r="L400" s="13" t="n"/>
      <c r="M400" s="11" t="n"/>
      <c r="N400" s="13" t="n"/>
      <c r="O400" s="11" t="n"/>
      <c r="P400" s="11" t="n"/>
      <c r="Q400" s="11" t="n"/>
      <c r="R400" s="12" t="n"/>
      <c r="S400" s="11" t="n"/>
    </row>
    <row r="401" ht="15" customHeight="1" s="21">
      <c r="A401" s="11" t="n"/>
      <c r="B401" s="11" t="n"/>
      <c r="C401" s="11" t="n"/>
      <c r="D401" s="12" t="n"/>
      <c r="E401" s="11" t="n"/>
      <c r="F401" s="11" t="n"/>
      <c r="G401" s="11" t="n"/>
      <c r="H401" s="13" t="n"/>
      <c r="I401" s="12" t="n"/>
      <c r="J401" s="12" t="n"/>
      <c r="K401" s="14">
        <f>IF($H401="","",TODAY()-$H401)</f>
        <v/>
      </c>
      <c r="L401" s="13" t="n"/>
      <c r="M401" s="11" t="n"/>
      <c r="N401" s="13" t="n"/>
      <c r="O401" s="11" t="n"/>
      <c r="P401" s="11" t="n"/>
      <c r="Q401" s="11" t="n"/>
      <c r="R401" s="12" t="n"/>
      <c r="S401" s="11" t="n"/>
    </row>
    <row r="402" ht="15" customHeight="1" s="21">
      <c r="A402" s="11" t="n"/>
      <c r="B402" s="11" t="n"/>
      <c r="C402" s="11" t="n"/>
      <c r="D402" s="12" t="n"/>
      <c r="E402" s="11" t="n"/>
      <c r="F402" s="11" t="n"/>
      <c r="G402" s="11" t="n"/>
      <c r="H402" s="13" t="n"/>
      <c r="I402" s="12" t="n"/>
      <c r="J402" s="12" t="n"/>
      <c r="K402" s="14">
        <f>IF($H402="","",TODAY()-$H402)</f>
        <v/>
      </c>
      <c r="L402" s="13" t="n"/>
      <c r="M402" s="11" t="n"/>
      <c r="N402" s="13" t="n"/>
      <c r="O402" s="11" t="n"/>
      <c r="P402" s="11" t="n"/>
      <c r="Q402" s="11" t="n"/>
      <c r="R402" s="12" t="n"/>
      <c r="S402" s="11" t="n"/>
    </row>
    <row r="403" ht="15" customHeight="1" s="21">
      <c r="A403" s="11" t="n"/>
      <c r="B403" s="11" t="n"/>
      <c r="C403" s="11" t="n"/>
      <c r="D403" s="12" t="n"/>
      <c r="E403" s="11" t="n"/>
      <c r="F403" s="11" t="n"/>
      <c r="G403" s="11" t="n"/>
      <c r="H403" s="13" t="n"/>
      <c r="I403" s="12" t="n"/>
      <c r="J403" s="12" t="n"/>
      <c r="K403" s="14">
        <f>IF($H403="","",TODAY()-$H403)</f>
        <v/>
      </c>
      <c r="L403" s="13" t="n"/>
      <c r="M403" s="11" t="n"/>
      <c r="N403" s="13" t="n"/>
      <c r="O403" s="11" t="n"/>
      <c r="P403" s="11" t="n"/>
      <c r="Q403" s="11" t="n"/>
      <c r="R403" s="12" t="n"/>
      <c r="S403" s="11" t="n"/>
    </row>
    <row r="404" ht="15" customHeight="1" s="21">
      <c r="A404" s="11" t="n"/>
      <c r="B404" s="11" t="n"/>
      <c r="C404" s="11" t="n"/>
      <c r="D404" s="12" t="n"/>
      <c r="E404" s="11" t="n"/>
      <c r="F404" s="11" t="n"/>
      <c r="G404" s="11" t="n"/>
      <c r="H404" s="13" t="n"/>
      <c r="I404" s="12" t="n"/>
      <c r="J404" s="12" t="n"/>
      <c r="K404" s="14">
        <f>IF($H404="","",TODAY()-$H404)</f>
        <v/>
      </c>
      <c r="L404" s="13" t="n"/>
      <c r="M404" s="11" t="n"/>
      <c r="N404" s="13" t="n"/>
      <c r="O404" s="11" t="n"/>
      <c r="P404" s="11" t="n"/>
      <c r="Q404" s="11" t="n"/>
      <c r="R404" s="12" t="n"/>
      <c r="S404" s="11" t="n"/>
    </row>
    <row r="405" ht="15" customHeight="1" s="21">
      <c r="A405" s="11" t="n"/>
      <c r="B405" s="11" t="n"/>
      <c r="C405" s="11" t="n"/>
      <c r="D405" s="12" t="n"/>
      <c r="E405" s="11" t="n"/>
      <c r="F405" s="11" t="n"/>
      <c r="G405" s="11" t="n"/>
      <c r="H405" s="13" t="n"/>
      <c r="I405" s="12" t="n"/>
      <c r="J405" s="12" t="n"/>
      <c r="K405" s="14">
        <f>IF($H405="","",TODAY()-$H405)</f>
        <v/>
      </c>
      <c r="L405" s="13" t="n"/>
      <c r="M405" s="11" t="n"/>
      <c r="N405" s="13" t="n"/>
      <c r="O405" s="11" t="n"/>
      <c r="P405" s="11" t="n"/>
      <c r="Q405" s="11" t="n"/>
      <c r="R405" s="12" t="n"/>
      <c r="S405" s="11" t="n"/>
    </row>
    <row r="406" ht="15" customHeight="1" s="21">
      <c r="A406" s="11" t="n"/>
      <c r="B406" s="11" t="n"/>
      <c r="C406" s="11" t="n"/>
      <c r="D406" s="12" t="n"/>
      <c r="E406" s="11" t="n"/>
      <c r="F406" s="11" t="n"/>
      <c r="G406" s="11" t="n"/>
      <c r="H406" s="13" t="n"/>
      <c r="I406" s="12" t="n"/>
      <c r="J406" s="12" t="n"/>
      <c r="K406" s="14">
        <f>IF($H406="","",TODAY()-$H406)</f>
        <v/>
      </c>
      <c r="L406" s="13" t="n"/>
      <c r="M406" s="11" t="n"/>
      <c r="N406" s="13" t="n"/>
      <c r="O406" s="11" t="n"/>
      <c r="P406" s="11" t="n"/>
      <c r="Q406" s="11" t="n"/>
      <c r="R406" s="12" t="n"/>
      <c r="S406" s="11" t="n"/>
    </row>
    <row r="407" ht="15" customHeight="1" s="21">
      <c r="A407" s="11" t="n"/>
      <c r="B407" s="11" t="n"/>
      <c r="C407" s="11" t="n"/>
      <c r="D407" s="12" t="n"/>
      <c r="E407" s="11" t="n"/>
      <c r="F407" s="11" t="n"/>
      <c r="G407" s="11" t="n"/>
      <c r="H407" s="13" t="n"/>
      <c r="I407" s="12" t="n"/>
      <c r="J407" s="12" t="n"/>
      <c r="K407" s="14">
        <f>IF($H407="","",TODAY()-$H407)</f>
        <v/>
      </c>
      <c r="L407" s="13" t="n"/>
      <c r="M407" s="11" t="n"/>
      <c r="N407" s="13" t="n"/>
      <c r="O407" s="11" t="n"/>
      <c r="P407" s="11" t="n"/>
      <c r="Q407" s="11" t="n"/>
      <c r="R407" s="12" t="n"/>
      <c r="S407" s="11" t="n"/>
    </row>
    <row r="408" ht="15" customHeight="1" s="21">
      <c r="A408" s="11" t="n"/>
      <c r="B408" s="11" t="n"/>
      <c r="C408" s="11" t="n"/>
      <c r="D408" s="12" t="n"/>
      <c r="E408" s="11" t="n"/>
      <c r="F408" s="11" t="n"/>
      <c r="G408" s="11" t="n"/>
      <c r="H408" s="13" t="n"/>
      <c r="I408" s="12" t="n"/>
      <c r="J408" s="12" t="n"/>
      <c r="K408" s="14">
        <f>IF($H408="","",TODAY()-$H408)</f>
        <v/>
      </c>
      <c r="L408" s="13" t="n"/>
      <c r="M408" s="11" t="n"/>
      <c r="N408" s="13" t="n"/>
      <c r="O408" s="11" t="n"/>
      <c r="P408" s="11" t="n"/>
      <c r="Q408" s="11" t="n"/>
      <c r="R408" s="12" t="n"/>
      <c r="S408" s="11" t="n"/>
    </row>
    <row r="409" ht="15" customHeight="1" s="21">
      <c r="A409" s="11" t="n"/>
      <c r="B409" s="11" t="n"/>
      <c r="C409" s="11" t="n"/>
      <c r="D409" s="12" t="n"/>
      <c r="E409" s="11" t="n"/>
      <c r="F409" s="11" t="n"/>
      <c r="G409" s="11" t="n"/>
      <c r="H409" s="13" t="n"/>
      <c r="I409" s="12" t="n"/>
      <c r="J409" s="12" t="n"/>
      <c r="K409" s="14">
        <f>IF($H409="","",TODAY()-$H409)</f>
        <v/>
      </c>
      <c r="L409" s="13" t="n"/>
      <c r="M409" s="11" t="n"/>
      <c r="N409" s="13" t="n"/>
      <c r="O409" s="11" t="n"/>
      <c r="P409" s="11" t="n"/>
      <c r="Q409" s="11" t="n"/>
      <c r="R409" s="12" t="n"/>
      <c r="S409" s="11" t="n"/>
    </row>
    <row r="410" ht="15" customHeight="1" s="21">
      <c r="A410" s="11" t="n"/>
      <c r="B410" s="11" t="n"/>
      <c r="C410" s="11" t="n"/>
      <c r="D410" s="12" t="n"/>
      <c r="E410" s="11" t="n"/>
      <c r="F410" s="11" t="n"/>
      <c r="G410" s="11" t="n"/>
      <c r="H410" s="13" t="n"/>
      <c r="I410" s="12" t="n"/>
      <c r="J410" s="12" t="n"/>
      <c r="K410" s="14">
        <f>IF($H410="","",TODAY()-$H410)</f>
        <v/>
      </c>
      <c r="L410" s="13" t="n"/>
      <c r="M410" s="11" t="n"/>
      <c r="N410" s="13" t="n"/>
      <c r="O410" s="11" t="n"/>
      <c r="P410" s="11" t="n"/>
      <c r="Q410" s="11" t="n"/>
      <c r="R410" s="12" t="n"/>
      <c r="S410" s="11" t="n"/>
    </row>
    <row r="411" ht="15" customHeight="1" s="21">
      <c r="A411" s="11" t="n"/>
      <c r="B411" s="11" t="n"/>
      <c r="C411" s="11" t="n"/>
      <c r="D411" s="12" t="n"/>
      <c r="E411" s="11" t="n"/>
      <c r="F411" s="11" t="n"/>
      <c r="G411" s="11" t="n"/>
      <c r="H411" s="13" t="n"/>
      <c r="I411" s="12" t="n"/>
      <c r="J411" s="12" t="n"/>
      <c r="K411" s="14">
        <f>IF($H411="","",TODAY()-$H411)</f>
        <v/>
      </c>
      <c r="L411" s="13" t="n"/>
      <c r="M411" s="11" t="n"/>
      <c r="N411" s="13" t="n"/>
      <c r="O411" s="11" t="n"/>
      <c r="P411" s="11" t="n"/>
      <c r="Q411" s="11" t="n"/>
      <c r="R411" s="12" t="n"/>
      <c r="S411" s="11" t="n"/>
    </row>
    <row r="412" ht="15" customHeight="1" s="21">
      <c r="A412" s="11" t="n"/>
      <c r="B412" s="11" t="n"/>
      <c r="C412" s="11" t="n"/>
      <c r="D412" s="12" t="n"/>
      <c r="E412" s="11" t="n"/>
      <c r="F412" s="11" t="n"/>
      <c r="G412" s="11" t="n"/>
      <c r="H412" s="13" t="n"/>
      <c r="I412" s="12" t="n"/>
      <c r="J412" s="12" t="n"/>
      <c r="K412" s="14">
        <f>IF($H412="","",TODAY()-$H412)</f>
        <v/>
      </c>
      <c r="L412" s="13" t="n"/>
      <c r="M412" s="11" t="n"/>
      <c r="N412" s="13" t="n"/>
      <c r="O412" s="11" t="n"/>
      <c r="P412" s="11" t="n"/>
      <c r="Q412" s="11" t="n"/>
      <c r="R412" s="12" t="n"/>
      <c r="S412" s="11" t="n"/>
    </row>
    <row r="413" ht="15" customHeight="1" s="21">
      <c r="A413" s="11" t="n"/>
      <c r="B413" s="11" t="n"/>
      <c r="C413" s="11" t="n"/>
      <c r="D413" s="12" t="n"/>
      <c r="E413" s="11" t="n"/>
      <c r="F413" s="11" t="n"/>
      <c r="G413" s="11" t="n"/>
      <c r="H413" s="13" t="n"/>
      <c r="I413" s="12" t="n"/>
      <c r="J413" s="12" t="n"/>
      <c r="K413" s="14">
        <f>IF($H413="","",TODAY()-$H413)</f>
        <v/>
      </c>
      <c r="L413" s="13" t="n"/>
      <c r="M413" s="11" t="n"/>
      <c r="N413" s="13" t="n"/>
      <c r="O413" s="11" t="n"/>
      <c r="P413" s="11" t="n"/>
      <c r="Q413" s="11" t="n"/>
      <c r="R413" s="12" t="n"/>
      <c r="S413" s="11" t="n"/>
    </row>
    <row r="414" ht="15" customHeight="1" s="21">
      <c r="A414" s="11" t="n"/>
      <c r="B414" s="11" t="n"/>
      <c r="C414" s="11" t="n"/>
      <c r="D414" s="12" t="n"/>
      <c r="E414" s="11" t="n"/>
      <c r="F414" s="11" t="n"/>
      <c r="G414" s="11" t="n"/>
      <c r="H414" s="13" t="n"/>
      <c r="I414" s="12" t="n"/>
      <c r="J414" s="12" t="n"/>
      <c r="K414" s="14">
        <f>IF($H414="","",TODAY()-$H414)</f>
        <v/>
      </c>
      <c r="L414" s="13" t="n"/>
      <c r="M414" s="11" t="n"/>
      <c r="N414" s="13" t="n"/>
      <c r="O414" s="11" t="n"/>
      <c r="P414" s="11" t="n"/>
      <c r="Q414" s="11" t="n"/>
      <c r="R414" s="12" t="n"/>
      <c r="S414" s="11" t="n"/>
    </row>
    <row r="415" ht="15" customHeight="1" s="21">
      <c r="A415" s="11" t="n"/>
      <c r="B415" s="11" t="n"/>
      <c r="C415" s="11" t="n"/>
      <c r="D415" s="12" t="n"/>
      <c r="E415" s="11" t="n"/>
      <c r="F415" s="11" t="n"/>
      <c r="G415" s="11" t="n"/>
      <c r="H415" s="13" t="n"/>
      <c r="I415" s="12" t="n"/>
      <c r="J415" s="12" t="n"/>
      <c r="K415" s="14">
        <f>IF($H415="","",TODAY()-$H415)</f>
        <v/>
      </c>
      <c r="L415" s="13" t="n"/>
      <c r="M415" s="11" t="n"/>
      <c r="N415" s="13" t="n"/>
      <c r="O415" s="11" t="n"/>
      <c r="P415" s="11" t="n"/>
      <c r="Q415" s="11" t="n"/>
      <c r="R415" s="12" t="n"/>
      <c r="S415" s="11" t="n"/>
    </row>
    <row r="416" ht="15" customHeight="1" s="21">
      <c r="A416" s="11" t="n"/>
      <c r="B416" s="11" t="n"/>
      <c r="C416" s="11" t="n"/>
      <c r="D416" s="12" t="n"/>
      <c r="E416" s="11" t="n"/>
      <c r="F416" s="11" t="n"/>
      <c r="G416" s="11" t="n"/>
      <c r="H416" s="13" t="n"/>
      <c r="I416" s="12" t="n"/>
      <c r="J416" s="12" t="n"/>
      <c r="K416" s="14">
        <f>IF($H416="","",TODAY()-$H416)</f>
        <v/>
      </c>
      <c r="L416" s="13" t="n"/>
      <c r="M416" s="11" t="n"/>
      <c r="N416" s="13" t="n"/>
      <c r="O416" s="11" t="n"/>
      <c r="P416" s="11" t="n"/>
      <c r="Q416" s="11" t="n"/>
      <c r="R416" s="12" t="n"/>
      <c r="S416" s="11" t="n"/>
    </row>
    <row r="417" ht="15" customHeight="1" s="21">
      <c r="A417" s="11" t="n"/>
      <c r="B417" s="11" t="n"/>
      <c r="C417" s="11" t="n"/>
      <c r="D417" s="12" t="n"/>
      <c r="E417" s="11" t="n"/>
      <c r="F417" s="11" t="n"/>
      <c r="G417" s="11" t="n"/>
      <c r="H417" s="13" t="n"/>
      <c r="I417" s="12" t="n"/>
      <c r="J417" s="12" t="n"/>
      <c r="K417" s="14">
        <f>IF($H417="","",TODAY()-$H417)</f>
        <v/>
      </c>
      <c r="L417" s="13" t="n"/>
      <c r="M417" s="11" t="n"/>
      <c r="N417" s="13" t="n"/>
      <c r="O417" s="11" t="n"/>
      <c r="P417" s="11" t="n"/>
      <c r="Q417" s="11" t="n"/>
      <c r="R417" s="12" t="n"/>
      <c r="S417" s="11" t="n"/>
    </row>
    <row r="418" ht="15" customHeight="1" s="21">
      <c r="A418" s="11" t="n"/>
      <c r="B418" s="11" t="n"/>
      <c r="C418" s="11" t="n"/>
      <c r="D418" s="12" t="n"/>
      <c r="E418" s="11" t="n"/>
      <c r="F418" s="11" t="n"/>
      <c r="G418" s="11" t="n"/>
      <c r="H418" s="13" t="n"/>
      <c r="I418" s="12" t="n"/>
      <c r="J418" s="12" t="n"/>
      <c r="K418" s="14">
        <f>IF($H418="","",TODAY()-$H418)</f>
        <v/>
      </c>
      <c r="L418" s="13" t="n"/>
      <c r="M418" s="11" t="n"/>
      <c r="N418" s="13" t="n"/>
      <c r="O418" s="11" t="n"/>
      <c r="P418" s="11" t="n"/>
      <c r="Q418" s="11" t="n"/>
      <c r="R418" s="12" t="n"/>
      <c r="S418" s="11" t="n"/>
    </row>
    <row r="419" ht="15" customHeight="1" s="21">
      <c r="A419" s="11" t="n"/>
      <c r="B419" s="11" t="n"/>
      <c r="C419" s="11" t="n"/>
      <c r="D419" s="12" t="n"/>
      <c r="E419" s="11" t="n"/>
      <c r="F419" s="11" t="n"/>
      <c r="G419" s="11" t="n"/>
      <c r="H419" s="13" t="n"/>
      <c r="I419" s="12" t="n"/>
      <c r="J419" s="12" t="n"/>
      <c r="K419" s="14">
        <f>IF($H419="","",TODAY()-$H419)</f>
        <v/>
      </c>
      <c r="L419" s="13" t="n"/>
      <c r="M419" s="11" t="n"/>
      <c r="N419" s="13" t="n"/>
      <c r="O419" s="11" t="n"/>
      <c r="P419" s="11" t="n"/>
      <c r="Q419" s="11" t="n"/>
      <c r="R419" s="12" t="n"/>
      <c r="S419" s="11" t="n"/>
    </row>
    <row r="420" ht="15" customHeight="1" s="21">
      <c r="A420" s="11" t="n"/>
      <c r="B420" s="11" t="n"/>
      <c r="C420" s="11" t="n"/>
      <c r="D420" s="12" t="n"/>
      <c r="E420" s="11" t="n"/>
      <c r="F420" s="11" t="n"/>
      <c r="G420" s="11" t="n"/>
      <c r="H420" s="13" t="n"/>
      <c r="I420" s="12" t="n"/>
      <c r="J420" s="12" t="n"/>
      <c r="K420" s="14">
        <f>IF($H420="","",TODAY()-$H420)</f>
        <v/>
      </c>
      <c r="L420" s="13" t="n"/>
      <c r="M420" s="11" t="n"/>
      <c r="N420" s="13" t="n"/>
      <c r="O420" s="11" t="n"/>
      <c r="P420" s="11" t="n"/>
      <c r="Q420" s="11" t="n"/>
      <c r="R420" s="12" t="n"/>
      <c r="S420" s="11" t="n"/>
    </row>
    <row r="421" ht="15" customHeight="1" s="21">
      <c r="A421" s="11" t="n"/>
      <c r="B421" s="11" t="n"/>
      <c r="C421" s="11" t="n"/>
      <c r="D421" s="12" t="n"/>
      <c r="E421" s="11" t="n"/>
      <c r="F421" s="11" t="n"/>
      <c r="G421" s="11" t="n"/>
      <c r="H421" s="13" t="n"/>
      <c r="I421" s="12" t="n"/>
      <c r="J421" s="12" t="n"/>
      <c r="K421" s="14">
        <f>IF($H421="","",TODAY()-$H421)</f>
        <v/>
      </c>
      <c r="L421" s="13" t="n"/>
      <c r="M421" s="11" t="n"/>
      <c r="N421" s="13" t="n"/>
      <c r="O421" s="11" t="n"/>
      <c r="P421" s="11" t="n"/>
      <c r="Q421" s="11" t="n"/>
      <c r="R421" s="12" t="n"/>
      <c r="S421" s="11" t="n"/>
    </row>
    <row r="422" ht="15" customHeight="1" s="21">
      <c r="A422" s="11" t="n"/>
      <c r="B422" s="11" t="n"/>
      <c r="C422" s="11" t="n"/>
      <c r="D422" s="12" t="n"/>
      <c r="E422" s="11" t="n"/>
      <c r="F422" s="11" t="n"/>
      <c r="G422" s="11" t="n"/>
      <c r="H422" s="13" t="n"/>
      <c r="I422" s="12" t="n"/>
      <c r="J422" s="12" t="n"/>
      <c r="K422" s="14">
        <f>IF($H422="","",TODAY()-$H422)</f>
        <v/>
      </c>
      <c r="L422" s="13" t="n"/>
      <c r="M422" s="11" t="n"/>
      <c r="N422" s="13" t="n"/>
      <c r="O422" s="11" t="n"/>
      <c r="P422" s="11" t="n"/>
      <c r="Q422" s="11" t="n"/>
      <c r="R422" s="12" t="n"/>
      <c r="S422" s="11" t="n"/>
    </row>
    <row r="423" ht="15" customHeight="1" s="21">
      <c r="A423" s="11" t="n"/>
      <c r="B423" s="11" t="n"/>
      <c r="C423" s="11" t="n"/>
      <c r="D423" s="12" t="n"/>
      <c r="E423" s="11" t="n"/>
      <c r="F423" s="11" t="n"/>
      <c r="G423" s="11" t="n"/>
      <c r="H423" s="13" t="n"/>
      <c r="I423" s="12" t="n"/>
      <c r="J423" s="12" t="n"/>
      <c r="K423" s="14">
        <f>IF($H423="","",TODAY()-$H423)</f>
        <v/>
      </c>
      <c r="L423" s="13" t="n"/>
      <c r="M423" s="11" t="n"/>
      <c r="N423" s="13" t="n"/>
      <c r="O423" s="11" t="n"/>
      <c r="P423" s="11" t="n"/>
      <c r="Q423" s="11" t="n"/>
      <c r="R423" s="12" t="n"/>
      <c r="S423" s="11" t="n"/>
    </row>
    <row r="424" ht="15" customHeight="1" s="21">
      <c r="A424" s="11" t="n"/>
      <c r="B424" s="11" t="n"/>
      <c r="C424" s="11" t="n"/>
      <c r="D424" s="12" t="n"/>
      <c r="E424" s="11" t="n"/>
      <c r="F424" s="11" t="n"/>
      <c r="G424" s="11" t="n"/>
      <c r="H424" s="13" t="n"/>
      <c r="I424" s="12" t="n"/>
      <c r="J424" s="12" t="n"/>
      <c r="K424" s="14">
        <f>IF($H424="","",TODAY()-$H424)</f>
        <v/>
      </c>
      <c r="L424" s="13" t="n"/>
      <c r="M424" s="11" t="n"/>
      <c r="N424" s="13" t="n"/>
      <c r="O424" s="11" t="n"/>
      <c r="P424" s="11" t="n"/>
      <c r="Q424" s="11" t="n"/>
      <c r="R424" s="12" t="n"/>
      <c r="S424" s="11" t="n"/>
    </row>
    <row r="425" ht="15" customHeight="1" s="21">
      <c r="A425" s="11" t="n"/>
      <c r="B425" s="11" t="n"/>
      <c r="C425" s="11" t="n"/>
      <c r="D425" s="12" t="n"/>
      <c r="E425" s="11" t="n"/>
      <c r="F425" s="11" t="n"/>
      <c r="G425" s="11" t="n"/>
      <c r="H425" s="13" t="n"/>
      <c r="I425" s="12" t="n"/>
      <c r="J425" s="12" t="n"/>
      <c r="K425" s="14">
        <f>IF($H425="","",TODAY()-$H425)</f>
        <v/>
      </c>
      <c r="L425" s="13" t="n"/>
      <c r="M425" s="11" t="n"/>
      <c r="N425" s="13" t="n"/>
      <c r="O425" s="11" t="n"/>
      <c r="P425" s="11" t="n"/>
      <c r="Q425" s="11" t="n"/>
      <c r="R425" s="12" t="n"/>
      <c r="S425" s="11" t="n"/>
    </row>
    <row r="426" ht="15" customHeight="1" s="21">
      <c r="A426" s="11" t="n"/>
      <c r="B426" s="11" t="n"/>
      <c r="C426" s="11" t="n"/>
      <c r="D426" s="12" t="n"/>
      <c r="E426" s="11" t="n"/>
      <c r="F426" s="11" t="n"/>
      <c r="G426" s="11" t="n"/>
      <c r="H426" s="13" t="n"/>
      <c r="I426" s="12" t="n"/>
      <c r="J426" s="12" t="n"/>
      <c r="K426" s="14">
        <f>IF($H426="","",TODAY()-$H426)</f>
        <v/>
      </c>
      <c r="L426" s="13" t="n"/>
      <c r="M426" s="11" t="n"/>
      <c r="N426" s="13" t="n"/>
      <c r="O426" s="11" t="n"/>
      <c r="P426" s="11" t="n"/>
      <c r="Q426" s="11" t="n"/>
      <c r="R426" s="12" t="n"/>
      <c r="S426" s="11" t="n"/>
    </row>
    <row r="427" ht="15" customHeight="1" s="21">
      <c r="A427" s="11" t="n"/>
      <c r="B427" s="11" t="n"/>
      <c r="C427" s="11" t="n"/>
      <c r="D427" s="12" t="n"/>
      <c r="E427" s="11" t="n"/>
      <c r="F427" s="11" t="n"/>
      <c r="G427" s="11" t="n"/>
      <c r="H427" s="13" t="n"/>
      <c r="I427" s="12" t="n"/>
      <c r="J427" s="12" t="n"/>
      <c r="K427" s="14">
        <f>IF($H427="","",TODAY()-$H427)</f>
        <v/>
      </c>
      <c r="L427" s="13" t="n"/>
      <c r="M427" s="11" t="n"/>
      <c r="N427" s="13" t="n"/>
      <c r="O427" s="11" t="n"/>
      <c r="P427" s="11" t="n"/>
      <c r="Q427" s="11" t="n"/>
      <c r="R427" s="12" t="n"/>
      <c r="S427" s="11" t="n"/>
    </row>
    <row r="428" ht="15" customHeight="1" s="21">
      <c r="A428" s="11" t="n"/>
      <c r="B428" s="11" t="n"/>
      <c r="C428" s="11" t="n"/>
      <c r="D428" s="12" t="n"/>
      <c r="E428" s="11" t="n"/>
      <c r="F428" s="11" t="n"/>
      <c r="G428" s="11" t="n"/>
      <c r="H428" s="13" t="n"/>
      <c r="I428" s="12" t="n"/>
      <c r="J428" s="12" t="n"/>
      <c r="K428" s="14">
        <f>IF($H428="","",TODAY()-$H428)</f>
        <v/>
      </c>
      <c r="L428" s="13" t="n"/>
      <c r="M428" s="11" t="n"/>
      <c r="N428" s="13" t="n"/>
      <c r="O428" s="11" t="n"/>
      <c r="P428" s="11" t="n"/>
      <c r="Q428" s="11" t="n"/>
      <c r="R428" s="12" t="n"/>
      <c r="S428" s="11" t="n"/>
    </row>
    <row r="429" ht="15" customHeight="1" s="21">
      <c r="A429" s="11" t="n"/>
      <c r="B429" s="11" t="n"/>
      <c r="C429" s="11" t="n"/>
      <c r="D429" s="12" t="n"/>
      <c r="E429" s="11" t="n"/>
      <c r="F429" s="11" t="n"/>
      <c r="G429" s="11" t="n"/>
      <c r="H429" s="13" t="n"/>
      <c r="I429" s="12" t="n"/>
      <c r="J429" s="12" t="n"/>
      <c r="K429" s="14">
        <f>IF($H429="","",TODAY()-$H429)</f>
        <v/>
      </c>
      <c r="L429" s="13" t="n"/>
      <c r="M429" s="11" t="n"/>
      <c r="N429" s="13" t="n"/>
      <c r="O429" s="11" t="n"/>
      <c r="P429" s="11" t="n"/>
      <c r="Q429" s="11" t="n"/>
      <c r="R429" s="12" t="n"/>
      <c r="S429" s="11" t="n"/>
    </row>
    <row r="430" ht="15" customHeight="1" s="21">
      <c r="A430" s="11" t="n"/>
      <c r="B430" s="11" t="n"/>
      <c r="C430" s="11" t="n"/>
      <c r="D430" s="12" t="n"/>
      <c r="E430" s="11" t="n"/>
      <c r="F430" s="11" t="n"/>
      <c r="G430" s="11" t="n"/>
      <c r="H430" s="13" t="n"/>
      <c r="I430" s="12" t="n"/>
      <c r="J430" s="12" t="n"/>
      <c r="K430" s="14">
        <f>IF($H430="","",TODAY()-$H430)</f>
        <v/>
      </c>
      <c r="L430" s="13" t="n"/>
      <c r="M430" s="11" t="n"/>
      <c r="N430" s="13" t="n"/>
      <c r="O430" s="11" t="n"/>
      <c r="P430" s="11" t="n"/>
      <c r="Q430" s="11" t="n"/>
      <c r="R430" s="12" t="n"/>
      <c r="S430" s="11" t="n"/>
    </row>
    <row r="431" ht="15" customHeight="1" s="21">
      <c r="A431" s="11" t="n"/>
      <c r="B431" s="11" t="n"/>
      <c r="C431" s="11" t="n"/>
      <c r="D431" s="12" t="n"/>
      <c r="E431" s="11" t="n"/>
      <c r="F431" s="11" t="n"/>
      <c r="G431" s="11" t="n"/>
      <c r="H431" s="13" t="n"/>
      <c r="I431" s="12" t="n"/>
      <c r="J431" s="12" t="n"/>
      <c r="K431" s="14">
        <f>IF($H431="","",TODAY()-$H431)</f>
        <v/>
      </c>
      <c r="L431" s="13" t="n"/>
      <c r="M431" s="11" t="n"/>
      <c r="N431" s="13" t="n"/>
      <c r="O431" s="11" t="n"/>
      <c r="P431" s="11" t="n"/>
      <c r="Q431" s="11" t="n"/>
      <c r="R431" s="12" t="n"/>
      <c r="S431" s="11" t="n"/>
    </row>
    <row r="432" ht="15" customHeight="1" s="21">
      <c r="A432" s="11" t="n"/>
      <c r="B432" s="11" t="n"/>
      <c r="C432" s="11" t="n"/>
      <c r="D432" s="12" t="n"/>
      <c r="E432" s="11" t="n"/>
      <c r="F432" s="11" t="n"/>
      <c r="G432" s="11" t="n"/>
      <c r="H432" s="13" t="n"/>
      <c r="I432" s="12" t="n"/>
      <c r="J432" s="12" t="n"/>
      <c r="K432" s="14">
        <f>IF($H432="","",TODAY()-$H432)</f>
        <v/>
      </c>
      <c r="L432" s="13" t="n"/>
      <c r="M432" s="11" t="n"/>
      <c r="N432" s="13" t="n"/>
      <c r="O432" s="11" t="n"/>
      <c r="P432" s="11" t="n"/>
      <c r="Q432" s="11" t="n"/>
      <c r="R432" s="12" t="n"/>
      <c r="S432" s="11" t="n"/>
    </row>
    <row r="433" ht="15" customHeight="1" s="21">
      <c r="A433" s="11" t="n"/>
      <c r="B433" s="11" t="n"/>
      <c r="C433" s="11" t="n"/>
      <c r="D433" s="12" t="n"/>
      <c r="E433" s="11" t="n"/>
      <c r="F433" s="11" t="n"/>
      <c r="G433" s="11" t="n"/>
      <c r="H433" s="13" t="n"/>
      <c r="I433" s="12" t="n"/>
      <c r="J433" s="12" t="n"/>
      <c r="K433" s="14">
        <f>IF($H433="","",TODAY()-$H433)</f>
        <v/>
      </c>
      <c r="L433" s="13" t="n"/>
      <c r="M433" s="11" t="n"/>
      <c r="N433" s="13" t="n"/>
      <c r="O433" s="11" t="n"/>
      <c r="P433" s="11" t="n"/>
      <c r="Q433" s="11" t="n"/>
      <c r="R433" s="12" t="n"/>
      <c r="S433" s="11" t="n"/>
    </row>
    <row r="434" ht="15" customHeight="1" s="21">
      <c r="A434" s="11" t="n"/>
      <c r="B434" s="11" t="n"/>
      <c r="C434" s="11" t="n"/>
      <c r="D434" s="12" t="n"/>
      <c r="E434" s="11" t="n"/>
      <c r="F434" s="11" t="n"/>
      <c r="G434" s="11" t="n"/>
      <c r="H434" s="13" t="n"/>
      <c r="I434" s="12" t="n"/>
      <c r="J434" s="12" t="n"/>
      <c r="K434" s="14">
        <f>IF($H434="","",TODAY()-$H434)</f>
        <v/>
      </c>
      <c r="L434" s="13" t="n"/>
      <c r="M434" s="11" t="n"/>
      <c r="N434" s="13" t="n"/>
      <c r="O434" s="11" t="n"/>
      <c r="P434" s="11" t="n"/>
      <c r="Q434" s="11" t="n"/>
      <c r="R434" s="12" t="n"/>
      <c r="S434" s="11" t="n"/>
    </row>
    <row r="435" ht="15" customHeight="1" s="21">
      <c r="A435" s="11" t="n"/>
      <c r="B435" s="11" t="n"/>
      <c r="C435" s="11" t="n"/>
      <c r="D435" s="12" t="n"/>
      <c r="E435" s="11" t="n"/>
      <c r="F435" s="11" t="n"/>
      <c r="G435" s="11" t="n"/>
      <c r="H435" s="13" t="n"/>
      <c r="I435" s="12" t="n"/>
      <c r="J435" s="12" t="n"/>
      <c r="K435" s="14">
        <f>IF($H435="","",TODAY()-$H435)</f>
        <v/>
      </c>
      <c r="L435" s="13" t="n"/>
      <c r="M435" s="11" t="n"/>
      <c r="N435" s="13" t="n"/>
      <c r="O435" s="11" t="n"/>
      <c r="P435" s="11" t="n"/>
      <c r="Q435" s="11" t="n"/>
      <c r="R435" s="12" t="n"/>
      <c r="S435" s="11" t="n"/>
    </row>
    <row r="436" ht="15" customHeight="1" s="21">
      <c r="A436" s="11" t="n"/>
      <c r="B436" s="11" t="n"/>
      <c r="C436" s="11" t="n"/>
      <c r="D436" s="12" t="n"/>
      <c r="E436" s="11" t="n"/>
      <c r="F436" s="11" t="n"/>
      <c r="G436" s="11" t="n"/>
      <c r="H436" s="13" t="n"/>
      <c r="I436" s="12" t="n"/>
      <c r="J436" s="12" t="n"/>
      <c r="K436" s="14">
        <f>IF($H436="","",TODAY()-$H436)</f>
        <v/>
      </c>
      <c r="L436" s="13" t="n"/>
      <c r="M436" s="11" t="n"/>
      <c r="N436" s="13" t="n"/>
      <c r="O436" s="11" t="n"/>
      <c r="P436" s="11" t="n"/>
      <c r="Q436" s="11" t="n"/>
      <c r="R436" s="12" t="n"/>
      <c r="S436" s="11" t="n"/>
    </row>
    <row r="437" ht="15" customHeight="1" s="21">
      <c r="A437" s="11" t="n"/>
      <c r="B437" s="11" t="n"/>
      <c r="C437" s="11" t="n"/>
      <c r="D437" s="12" t="n"/>
      <c r="E437" s="11" t="n"/>
      <c r="F437" s="11" t="n"/>
      <c r="G437" s="11" t="n"/>
      <c r="H437" s="13" t="n"/>
      <c r="I437" s="12" t="n"/>
      <c r="J437" s="12" t="n"/>
      <c r="K437" s="14">
        <f>IF($H437="","",TODAY()-$H437)</f>
        <v/>
      </c>
      <c r="L437" s="13" t="n"/>
      <c r="M437" s="11" t="n"/>
      <c r="N437" s="13" t="n"/>
      <c r="O437" s="11" t="n"/>
      <c r="P437" s="11" t="n"/>
      <c r="Q437" s="11" t="n"/>
      <c r="R437" s="12" t="n"/>
      <c r="S437" s="11" t="n"/>
    </row>
    <row r="438" ht="15" customHeight="1" s="21">
      <c r="A438" s="11" t="n"/>
      <c r="B438" s="11" t="n"/>
      <c r="C438" s="11" t="n"/>
      <c r="D438" s="12" t="n"/>
      <c r="E438" s="11" t="n"/>
      <c r="F438" s="11" t="n"/>
      <c r="G438" s="11" t="n"/>
      <c r="H438" s="13" t="n"/>
      <c r="I438" s="12" t="n"/>
      <c r="J438" s="12" t="n"/>
      <c r="K438" s="14">
        <f>IF($H438="","",TODAY()-$H438)</f>
        <v/>
      </c>
      <c r="L438" s="13" t="n"/>
      <c r="M438" s="11" t="n"/>
      <c r="N438" s="13" t="n"/>
      <c r="O438" s="11" t="n"/>
      <c r="P438" s="11" t="n"/>
      <c r="Q438" s="11" t="n"/>
      <c r="R438" s="12" t="n"/>
      <c r="S438" s="11" t="n"/>
    </row>
    <row r="439" ht="15" customHeight="1" s="21">
      <c r="A439" s="11" t="n"/>
      <c r="B439" s="11" t="n"/>
      <c r="C439" s="11" t="n"/>
      <c r="D439" s="12" t="n"/>
      <c r="E439" s="11" t="n"/>
      <c r="F439" s="11" t="n"/>
      <c r="G439" s="11" t="n"/>
      <c r="H439" s="13" t="n"/>
      <c r="I439" s="12" t="n"/>
      <c r="J439" s="12" t="n"/>
      <c r="K439" s="14">
        <f>IF($H439="","",TODAY()-$H439)</f>
        <v/>
      </c>
      <c r="L439" s="13" t="n"/>
      <c r="M439" s="11" t="n"/>
      <c r="N439" s="13" t="n"/>
      <c r="O439" s="11" t="n"/>
      <c r="P439" s="11" t="n"/>
      <c r="Q439" s="11" t="n"/>
      <c r="R439" s="12" t="n"/>
      <c r="S439" s="11" t="n"/>
    </row>
    <row r="440" ht="15" customHeight="1" s="21">
      <c r="A440" s="11" t="n"/>
      <c r="B440" s="11" t="n"/>
      <c r="C440" s="11" t="n"/>
      <c r="D440" s="12" t="n"/>
      <c r="E440" s="11" t="n"/>
      <c r="F440" s="11" t="n"/>
      <c r="G440" s="11" t="n"/>
      <c r="H440" s="13" t="n"/>
      <c r="I440" s="12" t="n"/>
      <c r="J440" s="12" t="n"/>
      <c r="K440" s="14">
        <f>IF($H440="","",TODAY()-$H440)</f>
        <v/>
      </c>
      <c r="L440" s="13" t="n"/>
      <c r="M440" s="11" t="n"/>
      <c r="N440" s="13" t="n"/>
      <c r="O440" s="11" t="n"/>
      <c r="P440" s="11" t="n"/>
      <c r="Q440" s="11" t="n"/>
      <c r="R440" s="12" t="n"/>
      <c r="S440" s="11" t="n"/>
    </row>
    <row r="441" ht="15" customHeight="1" s="21">
      <c r="A441" s="11" t="n"/>
      <c r="B441" s="11" t="n"/>
      <c r="C441" s="11" t="n"/>
      <c r="D441" s="12" t="n"/>
      <c r="E441" s="11" t="n"/>
      <c r="F441" s="11" t="n"/>
      <c r="G441" s="11" t="n"/>
      <c r="H441" s="13" t="n"/>
      <c r="I441" s="12" t="n"/>
      <c r="J441" s="12" t="n"/>
      <c r="K441" s="14">
        <f>IF($H441="","",TODAY()-$H441)</f>
        <v/>
      </c>
      <c r="L441" s="13" t="n"/>
      <c r="M441" s="11" t="n"/>
      <c r="N441" s="13" t="n"/>
      <c r="O441" s="11" t="n"/>
      <c r="P441" s="11" t="n"/>
      <c r="Q441" s="11" t="n"/>
      <c r="R441" s="12" t="n"/>
      <c r="S441" s="11" t="n"/>
    </row>
    <row r="442" ht="15" customHeight="1" s="21">
      <c r="A442" s="11" t="n"/>
      <c r="B442" s="11" t="n"/>
      <c r="C442" s="11" t="n"/>
      <c r="D442" s="12" t="n"/>
      <c r="E442" s="11" t="n"/>
      <c r="F442" s="11" t="n"/>
      <c r="G442" s="11" t="n"/>
      <c r="H442" s="13" t="n"/>
      <c r="I442" s="12" t="n"/>
      <c r="J442" s="12" t="n"/>
      <c r="K442" s="14">
        <f>IF($H442="","",TODAY()-$H442)</f>
        <v/>
      </c>
      <c r="L442" s="13" t="n"/>
      <c r="M442" s="11" t="n"/>
      <c r="N442" s="13" t="n"/>
      <c r="O442" s="11" t="n"/>
      <c r="P442" s="11" t="n"/>
      <c r="Q442" s="11" t="n"/>
      <c r="R442" s="12" t="n"/>
      <c r="S442" s="11" t="n"/>
    </row>
    <row r="443" ht="15" customHeight="1" s="21">
      <c r="A443" s="11" t="n"/>
      <c r="B443" s="11" t="n"/>
      <c r="C443" s="11" t="n"/>
      <c r="D443" s="12" t="n"/>
      <c r="E443" s="11" t="n"/>
      <c r="F443" s="11" t="n"/>
      <c r="G443" s="11" t="n"/>
      <c r="H443" s="13" t="n"/>
      <c r="I443" s="12" t="n"/>
      <c r="J443" s="12" t="n"/>
      <c r="K443" s="14">
        <f>IF($H443="","",TODAY()-$H443)</f>
        <v/>
      </c>
      <c r="L443" s="13" t="n"/>
      <c r="M443" s="11" t="n"/>
      <c r="N443" s="13" t="n"/>
      <c r="O443" s="11" t="n"/>
      <c r="P443" s="11" t="n"/>
      <c r="Q443" s="11" t="n"/>
      <c r="R443" s="12" t="n"/>
      <c r="S443" s="11" t="n"/>
    </row>
    <row r="444" ht="15" customHeight="1" s="21">
      <c r="A444" s="11" t="n"/>
      <c r="B444" s="11" t="n"/>
      <c r="C444" s="11" t="n"/>
      <c r="D444" s="12" t="n"/>
      <c r="E444" s="11" t="n"/>
      <c r="F444" s="11" t="n"/>
      <c r="G444" s="11" t="n"/>
      <c r="H444" s="13" t="n"/>
      <c r="I444" s="12" t="n"/>
      <c r="J444" s="12" t="n"/>
      <c r="K444" s="14">
        <f>IF($H444="","",TODAY()-$H444)</f>
        <v/>
      </c>
      <c r="L444" s="13" t="n"/>
      <c r="M444" s="11" t="n"/>
      <c r="N444" s="13" t="n"/>
      <c r="O444" s="11" t="n"/>
      <c r="P444" s="11" t="n"/>
      <c r="Q444" s="11" t="n"/>
      <c r="R444" s="12" t="n"/>
      <c r="S444" s="11" t="n"/>
    </row>
    <row r="445" ht="15" customHeight="1" s="21">
      <c r="A445" s="11" t="n"/>
      <c r="B445" s="11" t="n"/>
      <c r="C445" s="11" t="n"/>
      <c r="D445" s="12" t="n"/>
      <c r="E445" s="11" t="n"/>
      <c r="F445" s="11" t="n"/>
      <c r="G445" s="11" t="n"/>
      <c r="H445" s="13" t="n"/>
      <c r="I445" s="12" t="n"/>
      <c r="J445" s="12" t="n"/>
      <c r="K445" s="14">
        <f>IF($H445="","",TODAY()-$H445)</f>
        <v/>
      </c>
      <c r="L445" s="13" t="n"/>
      <c r="M445" s="11" t="n"/>
      <c r="N445" s="13" t="n"/>
      <c r="O445" s="11" t="n"/>
      <c r="P445" s="11" t="n"/>
      <c r="Q445" s="11" t="n"/>
      <c r="R445" s="12" t="n"/>
      <c r="S445" s="11" t="n"/>
    </row>
    <row r="446" ht="15" customHeight="1" s="21">
      <c r="A446" s="11" t="n"/>
      <c r="B446" s="11" t="n"/>
      <c r="C446" s="11" t="n"/>
      <c r="D446" s="12" t="n"/>
      <c r="E446" s="11" t="n"/>
      <c r="F446" s="11" t="n"/>
      <c r="G446" s="11" t="n"/>
      <c r="H446" s="13" t="n"/>
      <c r="I446" s="12" t="n"/>
      <c r="J446" s="12" t="n"/>
      <c r="K446" s="14">
        <f>IF($H446="","",TODAY()-$H446)</f>
        <v/>
      </c>
      <c r="L446" s="13" t="n"/>
      <c r="M446" s="11" t="n"/>
      <c r="N446" s="13" t="n"/>
      <c r="O446" s="11" t="n"/>
      <c r="P446" s="11" t="n"/>
      <c r="Q446" s="11" t="n"/>
      <c r="R446" s="12" t="n"/>
      <c r="S446" s="11" t="n"/>
    </row>
    <row r="447" ht="15" customHeight="1" s="21">
      <c r="A447" s="11" t="n"/>
      <c r="B447" s="11" t="n"/>
      <c r="C447" s="11" t="n"/>
      <c r="D447" s="12" t="n"/>
      <c r="E447" s="11" t="n"/>
      <c r="F447" s="11" t="n"/>
      <c r="G447" s="11" t="n"/>
      <c r="H447" s="13" t="n"/>
      <c r="I447" s="12" t="n"/>
      <c r="J447" s="12" t="n"/>
      <c r="K447" s="14">
        <f>IF($H447="","",TODAY()-$H447)</f>
        <v/>
      </c>
      <c r="L447" s="13" t="n"/>
      <c r="M447" s="11" t="n"/>
      <c r="N447" s="13" t="n"/>
      <c r="O447" s="11" t="n"/>
      <c r="P447" s="11" t="n"/>
      <c r="Q447" s="11" t="n"/>
      <c r="R447" s="12" t="n"/>
      <c r="S447" s="11" t="n"/>
    </row>
    <row r="448" ht="15" customHeight="1" s="21">
      <c r="A448" s="11" t="n"/>
      <c r="B448" s="11" t="n"/>
      <c r="C448" s="11" t="n"/>
      <c r="D448" s="12" t="n"/>
      <c r="E448" s="11" t="n"/>
      <c r="F448" s="11" t="n"/>
      <c r="G448" s="11" t="n"/>
      <c r="H448" s="13" t="n"/>
      <c r="I448" s="12" t="n"/>
      <c r="J448" s="12" t="n"/>
      <c r="K448" s="14">
        <f>IF($H448="","",TODAY()-$H448)</f>
        <v/>
      </c>
      <c r="L448" s="13" t="n"/>
      <c r="M448" s="11" t="n"/>
      <c r="N448" s="13" t="n"/>
      <c r="O448" s="11" t="n"/>
      <c r="P448" s="11" t="n"/>
      <c r="Q448" s="11" t="n"/>
      <c r="R448" s="12" t="n"/>
      <c r="S448" s="11" t="n"/>
    </row>
    <row r="449" ht="15" customHeight="1" s="21">
      <c r="A449" s="11" t="n"/>
      <c r="B449" s="11" t="n"/>
      <c r="C449" s="11" t="n"/>
      <c r="D449" s="12" t="n"/>
      <c r="E449" s="11" t="n"/>
      <c r="F449" s="11" t="n"/>
      <c r="G449" s="11" t="n"/>
      <c r="H449" s="13" t="n"/>
      <c r="I449" s="12" t="n"/>
      <c r="J449" s="12" t="n"/>
      <c r="K449" s="14">
        <f>IF($H449="","",TODAY()-$H449)</f>
        <v/>
      </c>
      <c r="L449" s="13" t="n"/>
      <c r="M449" s="11" t="n"/>
      <c r="N449" s="13" t="n"/>
      <c r="O449" s="11" t="n"/>
      <c r="P449" s="11" t="n"/>
      <c r="Q449" s="11" t="n"/>
      <c r="R449" s="12" t="n"/>
      <c r="S449" s="11" t="n"/>
    </row>
    <row r="450" ht="15" customHeight="1" s="21">
      <c r="A450" s="11" t="n"/>
      <c r="B450" s="11" t="n"/>
      <c r="C450" s="11" t="n"/>
      <c r="D450" s="12" t="n"/>
      <c r="E450" s="11" t="n"/>
      <c r="F450" s="11" t="n"/>
      <c r="G450" s="11" t="n"/>
      <c r="H450" s="13" t="n"/>
      <c r="I450" s="12" t="n"/>
      <c r="J450" s="12" t="n"/>
      <c r="K450" s="14">
        <f>IF($H450="","",TODAY()-$H450)</f>
        <v/>
      </c>
      <c r="L450" s="13" t="n"/>
      <c r="M450" s="11" t="n"/>
      <c r="N450" s="13" t="n"/>
      <c r="O450" s="11" t="n"/>
      <c r="P450" s="11" t="n"/>
      <c r="Q450" s="11" t="n"/>
      <c r="R450" s="12" t="n"/>
      <c r="S450" s="11" t="n"/>
    </row>
    <row r="451" ht="15" customHeight="1" s="21">
      <c r="A451" s="11" t="n"/>
      <c r="B451" s="11" t="n"/>
      <c r="C451" s="11" t="n"/>
      <c r="D451" s="12" t="n"/>
      <c r="E451" s="11" t="n"/>
      <c r="F451" s="11" t="n"/>
      <c r="G451" s="11" t="n"/>
      <c r="H451" s="13" t="n"/>
      <c r="I451" s="12" t="n"/>
      <c r="J451" s="12" t="n"/>
      <c r="K451" s="14">
        <f>IF($H451="","",TODAY()-$H451)</f>
        <v/>
      </c>
      <c r="L451" s="13" t="n"/>
      <c r="M451" s="11" t="n"/>
      <c r="N451" s="13" t="n"/>
      <c r="O451" s="11" t="n"/>
      <c r="P451" s="11" t="n"/>
      <c r="Q451" s="11" t="n"/>
      <c r="R451" s="12" t="n"/>
      <c r="S451" s="11" t="n"/>
    </row>
    <row r="452" ht="15" customHeight="1" s="21">
      <c r="A452" s="11" t="n"/>
      <c r="B452" s="11" t="n"/>
      <c r="C452" s="11" t="n"/>
      <c r="D452" s="12" t="n"/>
      <c r="E452" s="11" t="n"/>
      <c r="F452" s="11" t="n"/>
      <c r="G452" s="11" t="n"/>
      <c r="H452" s="13" t="n"/>
      <c r="I452" s="12" t="n"/>
      <c r="J452" s="12" t="n"/>
      <c r="K452" s="14">
        <f>IF($H452="","",TODAY()-$H452)</f>
        <v/>
      </c>
      <c r="L452" s="13" t="n"/>
      <c r="M452" s="11" t="n"/>
      <c r="N452" s="13" t="n"/>
      <c r="O452" s="11" t="n"/>
      <c r="P452" s="11" t="n"/>
      <c r="Q452" s="11" t="n"/>
      <c r="R452" s="12" t="n"/>
      <c r="S452" s="11" t="n"/>
    </row>
    <row r="453" ht="15" customHeight="1" s="21">
      <c r="A453" s="11" t="n"/>
      <c r="B453" s="11" t="n"/>
      <c r="C453" s="11" t="n"/>
      <c r="D453" s="12" t="n"/>
      <c r="E453" s="11" t="n"/>
      <c r="F453" s="11" t="n"/>
      <c r="G453" s="11" t="n"/>
      <c r="H453" s="13" t="n"/>
      <c r="I453" s="12" t="n"/>
      <c r="J453" s="12" t="n"/>
      <c r="K453" s="14">
        <f>IF($H453="","",TODAY()-$H453)</f>
        <v/>
      </c>
      <c r="L453" s="13" t="n"/>
      <c r="M453" s="11" t="n"/>
      <c r="N453" s="13" t="n"/>
      <c r="O453" s="11" t="n"/>
      <c r="P453" s="11" t="n"/>
      <c r="Q453" s="11" t="n"/>
      <c r="R453" s="12" t="n"/>
      <c r="S453" s="11" t="n"/>
    </row>
    <row r="454" ht="15" customHeight="1" s="21">
      <c r="A454" s="11" t="n"/>
      <c r="B454" s="11" t="n"/>
      <c r="C454" s="11" t="n"/>
      <c r="D454" s="12" t="n"/>
      <c r="E454" s="11" t="n"/>
      <c r="F454" s="11" t="n"/>
      <c r="G454" s="11" t="n"/>
      <c r="H454" s="13" t="n"/>
      <c r="I454" s="12" t="n"/>
      <c r="J454" s="12" t="n"/>
      <c r="K454" s="14">
        <f>IF($H454="","",TODAY()-$H454)</f>
        <v/>
      </c>
      <c r="L454" s="13" t="n"/>
      <c r="M454" s="11" t="n"/>
      <c r="N454" s="13" t="n"/>
      <c r="O454" s="11" t="n"/>
      <c r="P454" s="11" t="n"/>
      <c r="Q454" s="11" t="n"/>
      <c r="R454" s="12" t="n"/>
      <c r="S454" s="11" t="n"/>
    </row>
    <row r="455" ht="15" customHeight="1" s="21">
      <c r="A455" s="11" t="n"/>
      <c r="B455" s="11" t="n"/>
      <c r="C455" s="11" t="n"/>
      <c r="D455" s="12" t="n"/>
      <c r="E455" s="11" t="n"/>
      <c r="F455" s="11" t="n"/>
      <c r="G455" s="11" t="n"/>
      <c r="H455" s="13" t="n"/>
      <c r="I455" s="12" t="n"/>
      <c r="J455" s="12" t="n"/>
      <c r="K455" s="14">
        <f>IF($H455="","",TODAY()-$H455)</f>
        <v/>
      </c>
      <c r="L455" s="13" t="n"/>
      <c r="M455" s="11" t="n"/>
      <c r="N455" s="13" t="n"/>
      <c r="O455" s="11" t="n"/>
      <c r="P455" s="11" t="n"/>
      <c r="Q455" s="11" t="n"/>
      <c r="R455" s="12" t="n"/>
      <c r="S455" s="11" t="n"/>
    </row>
    <row r="456" ht="15" customHeight="1" s="21">
      <c r="A456" s="11" t="n"/>
      <c r="B456" s="11" t="n"/>
      <c r="C456" s="11" t="n"/>
      <c r="D456" s="12" t="n"/>
      <c r="E456" s="11" t="n"/>
      <c r="F456" s="11" t="n"/>
      <c r="G456" s="11" t="n"/>
      <c r="H456" s="13" t="n"/>
      <c r="I456" s="12" t="n"/>
      <c r="J456" s="12" t="n"/>
      <c r="K456" s="14">
        <f>IF($H456="","",TODAY()-$H456)</f>
        <v/>
      </c>
      <c r="L456" s="13" t="n"/>
      <c r="M456" s="11" t="n"/>
      <c r="N456" s="13" t="n"/>
      <c r="O456" s="11" t="n"/>
      <c r="P456" s="11" t="n"/>
      <c r="Q456" s="11" t="n"/>
      <c r="R456" s="12" t="n"/>
      <c r="S456" s="11" t="n"/>
    </row>
    <row r="457" ht="15" customHeight="1" s="21">
      <c r="A457" s="11" t="n"/>
      <c r="B457" s="11" t="n"/>
      <c r="C457" s="11" t="n"/>
      <c r="D457" s="12" t="n"/>
      <c r="E457" s="11" t="n"/>
      <c r="F457" s="11" t="n"/>
      <c r="G457" s="11" t="n"/>
      <c r="H457" s="13" t="n"/>
      <c r="I457" s="12" t="n"/>
      <c r="J457" s="12" t="n"/>
      <c r="K457" s="14">
        <f>IF($H457="","",TODAY()-$H457)</f>
        <v/>
      </c>
      <c r="L457" s="13" t="n"/>
      <c r="M457" s="11" t="n"/>
      <c r="N457" s="13" t="n"/>
      <c r="O457" s="11" t="n"/>
      <c r="P457" s="11" t="n"/>
      <c r="Q457" s="11" t="n"/>
      <c r="R457" s="12" t="n"/>
      <c r="S457" s="11" t="n"/>
    </row>
    <row r="458" ht="15" customHeight="1" s="21">
      <c r="A458" s="11" t="n"/>
      <c r="B458" s="11" t="n"/>
      <c r="C458" s="11" t="n"/>
      <c r="D458" s="12" t="n"/>
      <c r="E458" s="11" t="n"/>
      <c r="F458" s="11" t="n"/>
      <c r="G458" s="11" t="n"/>
      <c r="H458" s="13" t="n"/>
      <c r="I458" s="12" t="n"/>
      <c r="J458" s="12" t="n"/>
      <c r="K458" s="14">
        <f>IF($H458="","",TODAY()-$H458)</f>
        <v/>
      </c>
      <c r="L458" s="13" t="n"/>
      <c r="M458" s="11" t="n"/>
      <c r="N458" s="13" t="n"/>
      <c r="O458" s="11" t="n"/>
      <c r="P458" s="11" t="n"/>
      <c r="Q458" s="11" t="n"/>
      <c r="R458" s="12" t="n"/>
      <c r="S458" s="11" t="n"/>
    </row>
    <row r="459" ht="15" customHeight="1" s="21">
      <c r="A459" s="11" t="n"/>
      <c r="B459" s="11" t="n"/>
      <c r="C459" s="11" t="n"/>
      <c r="D459" s="12" t="n"/>
      <c r="E459" s="11" t="n"/>
      <c r="F459" s="11" t="n"/>
      <c r="G459" s="11" t="n"/>
      <c r="H459" s="13" t="n"/>
      <c r="I459" s="12" t="n"/>
      <c r="J459" s="12" t="n"/>
      <c r="K459" s="14">
        <f>IF($H459="","",TODAY()-$H459)</f>
        <v/>
      </c>
      <c r="L459" s="13" t="n"/>
      <c r="M459" s="11" t="n"/>
      <c r="N459" s="13" t="n"/>
      <c r="O459" s="11" t="n"/>
      <c r="P459" s="11" t="n"/>
      <c r="Q459" s="11" t="n"/>
      <c r="R459" s="12" t="n"/>
      <c r="S459" s="11" t="n"/>
    </row>
    <row r="460" ht="15" customHeight="1" s="21">
      <c r="A460" s="11" t="n"/>
      <c r="B460" s="11" t="n"/>
      <c r="C460" s="11" t="n"/>
      <c r="D460" s="12" t="n"/>
      <c r="E460" s="11" t="n"/>
      <c r="F460" s="11" t="n"/>
      <c r="G460" s="11" t="n"/>
      <c r="H460" s="13" t="n"/>
      <c r="I460" s="12" t="n"/>
      <c r="J460" s="12" t="n"/>
      <c r="K460" s="14">
        <f>IF($H460="","",TODAY()-$H460)</f>
        <v/>
      </c>
      <c r="L460" s="13" t="n"/>
      <c r="M460" s="11" t="n"/>
      <c r="N460" s="13" t="n"/>
      <c r="O460" s="11" t="n"/>
      <c r="P460" s="11" t="n"/>
      <c r="Q460" s="11" t="n"/>
      <c r="R460" s="12" t="n"/>
      <c r="S460" s="11" t="n"/>
    </row>
    <row r="461" ht="15" customHeight="1" s="21">
      <c r="A461" s="11" t="n"/>
      <c r="B461" s="11" t="n"/>
      <c r="C461" s="11" t="n"/>
      <c r="D461" s="12" t="n"/>
      <c r="E461" s="11" t="n"/>
      <c r="F461" s="11" t="n"/>
      <c r="G461" s="11" t="n"/>
      <c r="H461" s="13" t="n"/>
      <c r="I461" s="12" t="n"/>
      <c r="J461" s="12" t="n"/>
      <c r="K461" s="14">
        <f>IF($H461="","",TODAY()-$H461)</f>
        <v/>
      </c>
      <c r="L461" s="13" t="n"/>
      <c r="M461" s="11" t="n"/>
      <c r="N461" s="13" t="n"/>
      <c r="O461" s="11" t="n"/>
      <c r="P461" s="11" t="n"/>
      <c r="Q461" s="11" t="n"/>
      <c r="R461" s="12" t="n"/>
      <c r="S461" s="11" t="n"/>
    </row>
    <row r="462" ht="15" customHeight="1" s="21">
      <c r="A462" s="11" t="n"/>
      <c r="B462" s="11" t="n"/>
      <c r="C462" s="11" t="n"/>
      <c r="D462" s="12" t="n"/>
      <c r="E462" s="11" t="n"/>
      <c r="F462" s="11" t="n"/>
      <c r="G462" s="11" t="n"/>
      <c r="H462" s="13" t="n"/>
      <c r="I462" s="12" t="n"/>
      <c r="J462" s="12" t="n"/>
      <c r="K462" s="14">
        <f>IF($H462="","",TODAY()-$H462)</f>
        <v/>
      </c>
      <c r="L462" s="13" t="n"/>
      <c r="M462" s="11" t="n"/>
      <c r="N462" s="13" t="n"/>
      <c r="O462" s="11" t="n"/>
      <c r="P462" s="11" t="n"/>
      <c r="Q462" s="11" t="n"/>
      <c r="R462" s="12" t="n"/>
      <c r="S462" s="11" t="n"/>
    </row>
    <row r="463" ht="15" customHeight="1" s="21">
      <c r="A463" s="11" t="n"/>
      <c r="B463" s="11" t="n"/>
      <c r="C463" s="11" t="n"/>
      <c r="D463" s="12" t="n"/>
      <c r="E463" s="11" t="n"/>
      <c r="F463" s="11" t="n"/>
      <c r="G463" s="11" t="n"/>
      <c r="H463" s="13" t="n"/>
      <c r="I463" s="12" t="n"/>
      <c r="J463" s="12" t="n"/>
      <c r="K463" s="14">
        <f>IF($H463="","",TODAY()-$H463)</f>
        <v/>
      </c>
      <c r="L463" s="13" t="n"/>
      <c r="M463" s="11" t="n"/>
      <c r="N463" s="13" t="n"/>
      <c r="O463" s="11" t="n"/>
      <c r="P463" s="11" t="n"/>
      <c r="Q463" s="11" t="n"/>
      <c r="R463" s="12" t="n"/>
      <c r="S463" s="11" t="n"/>
    </row>
    <row r="464" ht="15" customHeight="1" s="21">
      <c r="A464" s="11" t="n"/>
      <c r="B464" s="11" t="n"/>
      <c r="C464" s="11" t="n"/>
      <c r="D464" s="12" t="n"/>
      <c r="E464" s="11" t="n"/>
      <c r="F464" s="11" t="n"/>
      <c r="G464" s="11" t="n"/>
      <c r="H464" s="13" t="n"/>
      <c r="I464" s="12" t="n"/>
      <c r="J464" s="12" t="n"/>
      <c r="K464" s="14">
        <f>IF($H464="","",TODAY()-$H464)</f>
        <v/>
      </c>
      <c r="L464" s="13" t="n"/>
      <c r="M464" s="11" t="n"/>
      <c r="N464" s="13" t="n"/>
      <c r="O464" s="11" t="n"/>
      <c r="P464" s="11" t="n"/>
      <c r="Q464" s="11" t="n"/>
      <c r="R464" s="12" t="n"/>
      <c r="S464" s="11" t="n"/>
    </row>
    <row r="465" ht="15" customHeight="1" s="21">
      <c r="A465" s="11" t="n"/>
      <c r="B465" s="11" t="n"/>
      <c r="C465" s="11" t="n"/>
      <c r="D465" s="12" t="n"/>
      <c r="E465" s="11" t="n"/>
      <c r="F465" s="11" t="n"/>
      <c r="G465" s="11" t="n"/>
      <c r="H465" s="13" t="n"/>
      <c r="I465" s="12" t="n"/>
      <c r="J465" s="12" t="n"/>
      <c r="K465" s="14">
        <f>IF($H465="","",TODAY()-$H465)</f>
        <v/>
      </c>
      <c r="L465" s="13" t="n"/>
      <c r="M465" s="11" t="n"/>
      <c r="N465" s="13" t="n"/>
      <c r="O465" s="11" t="n"/>
      <c r="P465" s="11" t="n"/>
      <c r="Q465" s="11" t="n"/>
      <c r="R465" s="12" t="n"/>
      <c r="S465" s="11" t="n"/>
    </row>
    <row r="466" ht="15" customHeight="1" s="21">
      <c r="A466" s="11" t="n"/>
      <c r="B466" s="11" t="n"/>
      <c r="C466" s="11" t="n"/>
      <c r="D466" s="12" t="n"/>
      <c r="E466" s="11" t="n"/>
      <c r="F466" s="11" t="n"/>
      <c r="G466" s="11" t="n"/>
      <c r="H466" s="13" t="n"/>
      <c r="I466" s="12" t="n"/>
      <c r="J466" s="12" t="n"/>
      <c r="K466" s="14">
        <f>IF($H466="","",TODAY()-$H466)</f>
        <v/>
      </c>
      <c r="L466" s="13" t="n"/>
      <c r="M466" s="11" t="n"/>
      <c r="N466" s="13" t="n"/>
      <c r="O466" s="11" t="n"/>
      <c r="P466" s="11" t="n"/>
      <c r="Q466" s="11" t="n"/>
      <c r="R466" s="12" t="n"/>
      <c r="S466" s="11" t="n"/>
    </row>
    <row r="467" ht="15" customHeight="1" s="21">
      <c r="A467" s="11" t="n"/>
      <c r="B467" s="11" t="n"/>
      <c r="C467" s="11" t="n"/>
      <c r="D467" s="12" t="n"/>
      <c r="E467" s="11" t="n"/>
      <c r="F467" s="11" t="n"/>
      <c r="G467" s="11" t="n"/>
      <c r="H467" s="13" t="n"/>
      <c r="I467" s="12" t="n"/>
      <c r="J467" s="12" t="n"/>
      <c r="K467" s="14">
        <f>IF($H467="","",TODAY()-$H467)</f>
        <v/>
      </c>
      <c r="L467" s="13" t="n"/>
      <c r="M467" s="11" t="n"/>
      <c r="N467" s="13" t="n"/>
      <c r="O467" s="11" t="n"/>
      <c r="P467" s="11" t="n"/>
      <c r="Q467" s="11" t="n"/>
      <c r="R467" s="12" t="n"/>
      <c r="S467" s="11" t="n"/>
    </row>
    <row r="468" ht="15" customHeight="1" s="21">
      <c r="A468" s="11" t="n"/>
      <c r="B468" s="11" t="n"/>
      <c r="C468" s="11" t="n"/>
      <c r="D468" s="12" t="n"/>
      <c r="E468" s="11" t="n"/>
      <c r="F468" s="11" t="n"/>
      <c r="G468" s="11" t="n"/>
      <c r="H468" s="13" t="n"/>
      <c r="I468" s="12" t="n"/>
      <c r="J468" s="12" t="n"/>
      <c r="K468" s="14">
        <f>IF($H468="","",TODAY()-$H468)</f>
        <v/>
      </c>
      <c r="L468" s="13" t="n"/>
      <c r="M468" s="11" t="n"/>
      <c r="N468" s="13" t="n"/>
      <c r="O468" s="11" t="n"/>
      <c r="P468" s="11" t="n"/>
      <c r="Q468" s="11" t="n"/>
      <c r="R468" s="12" t="n"/>
      <c r="S468" s="11" t="n"/>
    </row>
    <row r="469" ht="15" customHeight="1" s="21">
      <c r="A469" s="11" t="n"/>
      <c r="B469" s="11" t="n"/>
      <c r="C469" s="11" t="n"/>
      <c r="D469" s="12" t="n"/>
      <c r="E469" s="11" t="n"/>
      <c r="F469" s="11" t="n"/>
      <c r="G469" s="11" t="n"/>
      <c r="H469" s="13" t="n"/>
      <c r="I469" s="12" t="n"/>
      <c r="J469" s="12" t="n"/>
      <c r="K469" s="14">
        <f>IF($H469="","",TODAY()-$H469)</f>
        <v/>
      </c>
      <c r="L469" s="13" t="n"/>
      <c r="M469" s="11" t="n"/>
      <c r="N469" s="13" t="n"/>
      <c r="O469" s="11" t="n"/>
      <c r="P469" s="11" t="n"/>
      <c r="Q469" s="11" t="n"/>
      <c r="R469" s="12" t="n"/>
      <c r="S469" s="11" t="n"/>
    </row>
    <row r="470" ht="15" customHeight="1" s="21">
      <c r="A470" s="11" t="n"/>
      <c r="B470" s="11" t="n"/>
      <c r="C470" s="11" t="n"/>
      <c r="D470" s="12" t="n"/>
      <c r="E470" s="11" t="n"/>
      <c r="F470" s="11" t="n"/>
      <c r="G470" s="11" t="n"/>
      <c r="H470" s="13" t="n"/>
      <c r="I470" s="12" t="n"/>
      <c r="J470" s="12" t="n"/>
      <c r="K470" s="14">
        <f>IF($H470="","",TODAY()-$H470)</f>
        <v/>
      </c>
      <c r="L470" s="13" t="n"/>
      <c r="M470" s="11" t="n"/>
      <c r="N470" s="13" t="n"/>
      <c r="O470" s="11" t="n"/>
      <c r="P470" s="11" t="n"/>
      <c r="Q470" s="11" t="n"/>
      <c r="R470" s="12" t="n"/>
      <c r="S470" s="11" t="n"/>
    </row>
    <row r="471" ht="15" customHeight="1" s="21">
      <c r="A471" s="11" t="n"/>
      <c r="B471" s="11" t="n"/>
      <c r="C471" s="11" t="n"/>
      <c r="D471" s="12" t="n"/>
      <c r="E471" s="11" t="n"/>
      <c r="F471" s="11" t="n"/>
      <c r="G471" s="11" t="n"/>
      <c r="H471" s="13" t="n"/>
      <c r="I471" s="12" t="n"/>
      <c r="J471" s="12" t="n"/>
      <c r="K471" s="14">
        <f>IF($H471="","",TODAY()-$H471)</f>
        <v/>
      </c>
      <c r="L471" s="13" t="n"/>
      <c r="M471" s="11" t="n"/>
      <c r="N471" s="13" t="n"/>
      <c r="O471" s="11" t="n"/>
      <c r="P471" s="11" t="n"/>
      <c r="Q471" s="11" t="n"/>
      <c r="R471" s="12" t="n"/>
      <c r="S471" s="11" t="n"/>
    </row>
    <row r="472" ht="15" customHeight="1" s="21">
      <c r="A472" s="11" t="n"/>
      <c r="B472" s="11" t="n"/>
      <c r="C472" s="11" t="n"/>
      <c r="D472" s="12" t="n"/>
      <c r="E472" s="11" t="n"/>
      <c r="F472" s="11" t="n"/>
      <c r="G472" s="11" t="n"/>
      <c r="H472" s="13" t="n"/>
      <c r="I472" s="12" t="n"/>
      <c r="J472" s="12" t="n"/>
      <c r="K472" s="14">
        <f>IF($H472="","",TODAY()-$H472)</f>
        <v/>
      </c>
      <c r="L472" s="13" t="n"/>
      <c r="M472" s="11" t="n"/>
      <c r="N472" s="13" t="n"/>
      <c r="O472" s="11" t="n"/>
      <c r="P472" s="11" t="n"/>
      <c r="Q472" s="11" t="n"/>
      <c r="R472" s="12" t="n"/>
      <c r="S472" s="11" t="n"/>
    </row>
    <row r="473" ht="15" customHeight="1" s="21">
      <c r="A473" s="11" t="n"/>
      <c r="B473" s="11" t="n"/>
      <c r="C473" s="11" t="n"/>
      <c r="D473" s="12" t="n"/>
      <c r="E473" s="11" t="n"/>
      <c r="F473" s="11" t="n"/>
      <c r="G473" s="11" t="n"/>
      <c r="H473" s="13" t="n"/>
      <c r="I473" s="12" t="n"/>
      <c r="J473" s="12" t="n"/>
      <c r="K473" s="14">
        <f>IF($H473="","",TODAY()-$H473)</f>
        <v/>
      </c>
      <c r="L473" s="13" t="n"/>
      <c r="M473" s="11" t="n"/>
      <c r="N473" s="13" t="n"/>
      <c r="O473" s="11" t="n"/>
      <c r="P473" s="11" t="n"/>
      <c r="Q473" s="11" t="n"/>
      <c r="R473" s="12" t="n"/>
      <c r="S473" s="11" t="n"/>
    </row>
    <row r="474" ht="15" customHeight="1" s="21">
      <c r="A474" s="11" t="n"/>
      <c r="B474" s="11" t="n"/>
      <c r="C474" s="11" t="n"/>
      <c r="D474" s="12" t="n"/>
      <c r="E474" s="11" t="n"/>
      <c r="F474" s="11" t="n"/>
      <c r="G474" s="11" t="n"/>
      <c r="H474" s="13" t="n"/>
      <c r="I474" s="12" t="n"/>
      <c r="J474" s="12" t="n"/>
      <c r="K474" s="14">
        <f>IF($H474="","",TODAY()-$H474)</f>
        <v/>
      </c>
      <c r="L474" s="13" t="n"/>
      <c r="M474" s="11" t="n"/>
      <c r="N474" s="13" t="n"/>
      <c r="O474" s="11" t="n"/>
      <c r="P474" s="11" t="n"/>
      <c r="Q474" s="11" t="n"/>
      <c r="R474" s="12" t="n"/>
      <c r="S474" s="11" t="n"/>
    </row>
    <row r="475" ht="15" customHeight="1" s="21">
      <c r="A475" s="11" t="n"/>
      <c r="B475" s="11" t="n"/>
      <c r="C475" s="11" t="n"/>
      <c r="D475" s="12" t="n"/>
      <c r="E475" s="11" t="n"/>
      <c r="F475" s="11" t="n"/>
      <c r="G475" s="11" t="n"/>
      <c r="H475" s="13" t="n"/>
      <c r="I475" s="12" t="n"/>
      <c r="J475" s="12" t="n"/>
      <c r="K475" s="14">
        <f>IF($H475="","",TODAY()-$H475)</f>
        <v/>
      </c>
      <c r="L475" s="13" t="n"/>
      <c r="M475" s="11" t="n"/>
      <c r="N475" s="13" t="n"/>
      <c r="O475" s="11" t="n"/>
      <c r="P475" s="11" t="n"/>
      <c r="Q475" s="11" t="n"/>
      <c r="R475" s="12" t="n"/>
      <c r="S475" s="11" t="n"/>
    </row>
    <row r="476" ht="15" customHeight="1" s="21">
      <c r="A476" s="11" t="n"/>
      <c r="B476" s="11" t="n"/>
      <c r="C476" s="11" t="n"/>
      <c r="D476" s="12" t="n"/>
      <c r="E476" s="11" t="n"/>
      <c r="F476" s="11" t="n"/>
      <c r="G476" s="11" t="n"/>
      <c r="H476" s="13" t="n"/>
      <c r="I476" s="12" t="n"/>
      <c r="J476" s="12" t="n"/>
      <c r="K476" s="14">
        <f>IF($H476="","",TODAY()-$H476)</f>
        <v/>
      </c>
      <c r="L476" s="13" t="n"/>
      <c r="M476" s="11" t="n"/>
      <c r="N476" s="13" t="n"/>
      <c r="O476" s="11" t="n"/>
      <c r="P476" s="11" t="n"/>
      <c r="Q476" s="11" t="n"/>
      <c r="R476" s="12" t="n"/>
      <c r="S476" s="11" t="n"/>
    </row>
    <row r="477" ht="15" customHeight="1" s="21">
      <c r="A477" s="11" t="n"/>
      <c r="B477" s="11" t="n"/>
      <c r="C477" s="11" t="n"/>
      <c r="D477" s="12" t="n"/>
      <c r="E477" s="11" t="n"/>
      <c r="F477" s="11" t="n"/>
      <c r="G477" s="11" t="n"/>
      <c r="H477" s="13" t="n"/>
      <c r="I477" s="12" t="n"/>
      <c r="J477" s="12" t="n"/>
      <c r="K477" s="14">
        <f>IF($H477="","",TODAY()-$H477)</f>
        <v/>
      </c>
      <c r="L477" s="13" t="n"/>
      <c r="M477" s="11" t="n"/>
      <c r="N477" s="13" t="n"/>
      <c r="O477" s="11" t="n"/>
      <c r="P477" s="11" t="n"/>
      <c r="Q477" s="11" t="n"/>
      <c r="R477" s="12" t="n"/>
      <c r="S477" s="11" t="n"/>
    </row>
    <row r="478" ht="15" customHeight="1" s="21">
      <c r="A478" s="11" t="n"/>
      <c r="B478" s="11" t="n"/>
      <c r="C478" s="11" t="n"/>
      <c r="D478" s="12" t="n"/>
      <c r="E478" s="11" t="n"/>
      <c r="F478" s="11" t="n"/>
      <c r="G478" s="11" t="n"/>
      <c r="H478" s="13" t="n"/>
      <c r="I478" s="12" t="n"/>
      <c r="J478" s="12" t="n"/>
      <c r="K478" s="14">
        <f>IF($H478="","",TODAY()-$H478)</f>
        <v/>
      </c>
      <c r="L478" s="13" t="n"/>
      <c r="M478" s="11" t="n"/>
      <c r="N478" s="13" t="n"/>
      <c r="O478" s="11" t="n"/>
      <c r="P478" s="11" t="n"/>
      <c r="Q478" s="11" t="n"/>
      <c r="R478" s="12" t="n"/>
      <c r="S478" s="11" t="n"/>
    </row>
    <row r="479" ht="15" customHeight="1" s="21">
      <c r="A479" s="11" t="n"/>
      <c r="B479" s="11" t="n"/>
      <c r="C479" s="11" t="n"/>
      <c r="D479" s="12" t="n"/>
      <c r="E479" s="11" t="n"/>
      <c r="F479" s="11" t="n"/>
      <c r="G479" s="11" t="n"/>
      <c r="H479" s="13" t="n"/>
      <c r="I479" s="12" t="n"/>
      <c r="J479" s="12" t="n"/>
      <c r="K479" s="14">
        <f>IF($H479="","",TODAY()-$H479)</f>
        <v/>
      </c>
      <c r="L479" s="13" t="n"/>
      <c r="M479" s="11" t="n"/>
      <c r="N479" s="13" t="n"/>
      <c r="O479" s="11" t="n"/>
      <c r="P479" s="11" t="n"/>
      <c r="Q479" s="11" t="n"/>
      <c r="R479" s="12" t="n"/>
      <c r="S479" s="11" t="n"/>
    </row>
    <row r="480" ht="15" customHeight="1" s="21">
      <c r="A480" s="11" t="n"/>
      <c r="B480" s="11" t="n"/>
      <c r="C480" s="11" t="n"/>
      <c r="D480" s="12" t="n"/>
      <c r="E480" s="11" t="n"/>
      <c r="F480" s="11" t="n"/>
      <c r="G480" s="11" t="n"/>
      <c r="H480" s="13" t="n"/>
      <c r="I480" s="12" t="n"/>
      <c r="J480" s="12" t="n"/>
      <c r="K480" s="14">
        <f>IF($H480="","",TODAY()-$H480)</f>
        <v/>
      </c>
      <c r="L480" s="13" t="n"/>
      <c r="M480" s="11" t="n"/>
      <c r="N480" s="13" t="n"/>
      <c r="O480" s="11" t="n"/>
      <c r="P480" s="11" t="n"/>
      <c r="Q480" s="11" t="n"/>
      <c r="R480" s="12" t="n"/>
      <c r="S480" s="11" t="n"/>
    </row>
    <row r="481" ht="15" customHeight="1" s="21">
      <c r="A481" s="11" t="n"/>
      <c r="B481" s="11" t="n"/>
      <c r="C481" s="11" t="n"/>
      <c r="D481" s="12" t="n"/>
      <c r="E481" s="11" t="n"/>
      <c r="F481" s="11" t="n"/>
      <c r="G481" s="11" t="n"/>
      <c r="H481" s="13" t="n"/>
      <c r="I481" s="12" t="n"/>
      <c r="J481" s="12" t="n"/>
      <c r="K481" s="14">
        <f>IF($H481="","",TODAY()-$H481)</f>
        <v/>
      </c>
      <c r="L481" s="13" t="n"/>
      <c r="M481" s="11" t="n"/>
      <c r="N481" s="13" t="n"/>
      <c r="O481" s="11" t="n"/>
      <c r="P481" s="11" t="n"/>
      <c r="Q481" s="11" t="n"/>
      <c r="R481" s="12" t="n"/>
      <c r="S481" s="11" t="n"/>
    </row>
    <row r="482" ht="15" customHeight="1" s="21">
      <c r="A482" s="11" t="n"/>
      <c r="B482" s="11" t="n"/>
      <c r="C482" s="11" t="n"/>
      <c r="D482" s="12" t="n"/>
      <c r="E482" s="11" t="n"/>
      <c r="F482" s="11" t="n"/>
      <c r="G482" s="11" t="n"/>
      <c r="H482" s="13" t="n"/>
      <c r="I482" s="12" t="n"/>
      <c r="J482" s="12" t="n"/>
      <c r="K482" s="14">
        <f>IF($H482="","",TODAY()-$H482)</f>
        <v/>
      </c>
      <c r="L482" s="13" t="n"/>
      <c r="M482" s="11" t="n"/>
      <c r="N482" s="13" t="n"/>
      <c r="O482" s="11" t="n"/>
      <c r="P482" s="11" t="n"/>
      <c r="Q482" s="11" t="n"/>
      <c r="R482" s="12" t="n"/>
      <c r="S482" s="11" t="n"/>
    </row>
    <row r="483" ht="15" customHeight="1" s="21">
      <c r="A483" s="11" t="n"/>
      <c r="B483" s="11" t="n"/>
      <c r="C483" s="11" t="n"/>
      <c r="D483" s="12" t="n"/>
      <c r="E483" s="11" t="n"/>
      <c r="F483" s="11" t="n"/>
      <c r="G483" s="11" t="n"/>
      <c r="H483" s="13" t="n"/>
      <c r="I483" s="12" t="n"/>
      <c r="J483" s="12" t="n"/>
      <c r="K483" s="14">
        <f>IF($H483="","",TODAY()-$H483)</f>
        <v/>
      </c>
      <c r="L483" s="13" t="n"/>
      <c r="M483" s="11" t="n"/>
      <c r="N483" s="13" t="n"/>
      <c r="O483" s="11" t="n"/>
      <c r="P483" s="11" t="n"/>
      <c r="Q483" s="11" t="n"/>
      <c r="R483" s="12" t="n"/>
      <c r="S483" s="11" t="n"/>
    </row>
    <row r="484" ht="15" customHeight="1" s="21">
      <c r="A484" s="11" t="n"/>
      <c r="B484" s="11" t="n"/>
      <c r="C484" s="11" t="n"/>
      <c r="D484" s="12" t="n"/>
      <c r="E484" s="11" t="n"/>
      <c r="F484" s="11" t="n"/>
      <c r="G484" s="11" t="n"/>
      <c r="H484" s="13" t="n"/>
      <c r="I484" s="12" t="n"/>
      <c r="J484" s="12" t="n"/>
      <c r="K484" s="14">
        <f>IF($H484="","",TODAY()-$H484)</f>
        <v/>
      </c>
      <c r="L484" s="13" t="n"/>
      <c r="M484" s="11" t="n"/>
      <c r="N484" s="13" t="n"/>
      <c r="O484" s="11" t="n"/>
      <c r="P484" s="11" t="n"/>
      <c r="Q484" s="11" t="n"/>
      <c r="R484" s="12" t="n"/>
      <c r="S484" s="11" t="n"/>
    </row>
    <row r="485" ht="15" customHeight="1" s="21">
      <c r="A485" s="11" t="n"/>
      <c r="B485" s="11" t="n"/>
      <c r="C485" s="11" t="n"/>
      <c r="D485" s="12" t="n"/>
      <c r="E485" s="11" t="n"/>
      <c r="F485" s="11" t="n"/>
      <c r="G485" s="11" t="n"/>
      <c r="H485" s="13" t="n"/>
      <c r="I485" s="12" t="n"/>
      <c r="J485" s="12" t="n"/>
      <c r="K485" s="14">
        <f>IF($H485="","",TODAY()-$H485)</f>
        <v/>
      </c>
      <c r="L485" s="13" t="n"/>
      <c r="M485" s="11" t="n"/>
      <c r="N485" s="13" t="n"/>
      <c r="O485" s="11" t="n"/>
      <c r="P485" s="11" t="n"/>
      <c r="Q485" s="11" t="n"/>
      <c r="R485" s="12" t="n"/>
      <c r="S485" s="11" t="n"/>
    </row>
    <row r="486" ht="15" customHeight="1" s="21">
      <c r="A486" s="11" t="n"/>
      <c r="B486" s="11" t="n"/>
      <c r="C486" s="11" t="n"/>
      <c r="D486" s="12" t="n"/>
      <c r="E486" s="11" t="n"/>
      <c r="F486" s="11" t="n"/>
      <c r="G486" s="11" t="n"/>
      <c r="H486" s="13" t="n"/>
      <c r="I486" s="12" t="n"/>
      <c r="J486" s="12" t="n"/>
      <c r="K486" s="14">
        <f>IF($H486="","",TODAY()-$H486)</f>
        <v/>
      </c>
      <c r="L486" s="13" t="n"/>
      <c r="M486" s="11" t="n"/>
      <c r="N486" s="13" t="n"/>
      <c r="O486" s="11" t="n"/>
      <c r="P486" s="11" t="n"/>
      <c r="Q486" s="11" t="n"/>
      <c r="R486" s="12" t="n"/>
      <c r="S486" s="11" t="n"/>
    </row>
    <row r="487" ht="15" customHeight="1" s="21">
      <c r="A487" s="11" t="n"/>
      <c r="B487" s="11" t="n"/>
      <c r="C487" s="11" t="n"/>
      <c r="D487" s="12" t="n"/>
      <c r="E487" s="11" t="n"/>
      <c r="F487" s="11" t="n"/>
      <c r="G487" s="11" t="n"/>
      <c r="H487" s="13" t="n"/>
      <c r="I487" s="12" t="n"/>
      <c r="J487" s="12" t="n"/>
      <c r="K487" s="14">
        <f>IF($H487="","",TODAY()-$H487)</f>
        <v/>
      </c>
      <c r="L487" s="13" t="n"/>
      <c r="M487" s="11" t="n"/>
      <c r="N487" s="13" t="n"/>
      <c r="O487" s="11" t="n"/>
      <c r="P487" s="11" t="n"/>
      <c r="Q487" s="11" t="n"/>
      <c r="R487" s="12" t="n"/>
      <c r="S487" s="11" t="n"/>
    </row>
    <row r="488" ht="15" customHeight="1" s="21">
      <c r="A488" s="11" t="n"/>
      <c r="B488" s="11" t="n"/>
      <c r="C488" s="11" t="n"/>
      <c r="D488" s="12" t="n"/>
      <c r="E488" s="11" t="n"/>
      <c r="F488" s="11" t="n"/>
      <c r="G488" s="11" t="n"/>
      <c r="H488" s="13" t="n"/>
      <c r="I488" s="12" t="n"/>
      <c r="J488" s="12" t="n"/>
      <c r="K488" s="14">
        <f>IF($H488="","",TODAY()-$H488)</f>
        <v/>
      </c>
      <c r="L488" s="13" t="n"/>
      <c r="M488" s="11" t="n"/>
      <c r="N488" s="13" t="n"/>
      <c r="O488" s="11" t="n"/>
      <c r="P488" s="11" t="n"/>
      <c r="Q488" s="11" t="n"/>
      <c r="R488" s="12" t="n"/>
      <c r="S488" s="11" t="n"/>
    </row>
    <row r="489" ht="15" customHeight="1" s="21">
      <c r="A489" s="11" t="n"/>
      <c r="B489" s="11" t="n"/>
      <c r="C489" s="11" t="n"/>
      <c r="D489" s="12" t="n"/>
      <c r="E489" s="11" t="n"/>
      <c r="F489" s="11" t="n"/>
      <c r="G489" s="11" t="n"/>
      <c r="H489" s="13" t="n"/>
      <c r="I489" s="12" t="n"/>
      <c r="J489" s="12" t="n"/>
      <c r="K489" s="14">
        <f>IF($H489="","",TODAY()-$H489)</f>
        <v/>
      </c>
      <c r="L489" s="13" t="n"/>
      <c r="M489" s="11" t="n"/>
      <c r="N489" s="13" t="n"/>
      <c r="O489" s="11" t="n"/>
      <c r="P489" s="11" t="n"/>
      <c r="Q489" s="11" t="n"/>
      <c r="R489" s="12" t="n"/>
      <c r="S489" s="11" t="n"/>
    </row>
    <row r="490" ht="15" customHeight="1" s="21">
      <c r="A490" s="11" t="n"/>
      <c r="B490" s="11" t="n"/>
      <c r="C490" s="11" t="n"/>
      <c r="D490" s="12" t="n"/>
      <c r="E490" s="11" t="n"/>
      <c r="F490" s="11" t="n"/>
      <c r="G490" s="11" t="n"/>
      <c r="H490" s="13" t="n"/>
      <c r="I490" s="12" t="n"/>
      <c r="J490" s="12" t="n"/>
      <c r="K490" s="14">
        <f>IF($H490="","",TODAY()-$H490)</f>
        <v/>
      </c>
      <c r="L490" s="13" t="n"/>
      <c r="M490" s="11" t="n"/>
      <c r="N490" s="13" t="n"/>
      <c r="O490" s="11" t="n"/>
      <c r="P490" s="11" t="n"/>
      <c r="Q490" s="11" t="n"/>
      <c r="R490" s="12" t="n"/>
      <c r="S490" s="11" t="n"/>
    </row>
    <row r="491" ht="15" customHeight="1" s="21">
      <c r="A491" s="11" t="n"/>
      <c r="B491" s="11" t="n"/>
      <c r="C491" s="11" t="n"/>
      <c r="D491" s="12" t="n"/>
      <c r="E491" s="11" t="n"/>
      <c r="F491" s="11" t="n"/>
      <c r="G491" s="11" t="n"/>
      <c r="H491" s="13" t="n"/>
      <c r="I491" s="12" t="n"/>
      <c r="J491" s="12" t="n"/>
      <c r="K491" s="14">
        <f>IF($H491="","",TODAY()-$H491)</f>
        <v/>
      </c>
      <c r="L491" s="13" t="n"/>
      <c r="M491" s="11" t="n"/>
      <c r="N491" s="13" t="n"/>
      <c r="O491" s="11" t="n"/>
      <c r="P491" s="11" t="n"/>
      <c r="Q491" s="11" t="n"/>
      <c r="R491" s="12" t="n"/>
      <c r="S491" s="11" t="n"/>
    </row>
    <row r="492" ht="15" customHeight="1" s="21">
      <c r="A492" s="11" t="n"/>
      <c r="B492" s="11" t="n"/>
      <c r="C492" s="11" t="n"/>
      <c r="D492" s="12" t="n"/>
      <c r="E492" s="11" t="n"/>
      <c r="F492" s="11" t="n"/>
      <c r="G492" s="11" t="n"/>
      <c r="H492" s="13" t="n"/>
      <c r="I492" s="12" t="n"/>
      <c r="J492" s="12" t="n"/>
      <c r="K492" s="14">
        <f>IF($H492="","",TODAY()-$H492)</f>
        <v/>
      </c>
      <c r="L492" s="13" t="n"/>
      <c r="M492" s="11" t="n"/>
      <c r="N492" s="13" t="n"/>
      <c r="O492" s="11" t="n"/>
      <c r="P492" s="11" t="n"/>
      <c r="Q492" s="11" t="n"/>
      <c r="R492" s="12" t="n"/>
      <c r="S492" s="11" t="n"/>
    </row>
    <row r="493" ht="15" customHeight="1" s="21">
      <c r="A493" s="11" t="n"/>
      <c r="B493" s="11" t="n"/>
      <c r="C493" s="11" t="n"/>
      <c r="D493" s="12" t="n"/>
      <c r="E493" s="11" t="n"/>
      <c r="F493" s="11" t="n"/>
      <c r="G493" s="11" t="n"/>
      <c r="H493" s="13" t="n"/>
      <c r="I493" s="12" t="n"/>
      <c r="J493" s="12" t="n"/>
      <c r="K493" s="14">
        <f>IF($H493="","",TODAY()-$H493)</f>
        <v/>
      </c>
      <c r="L493" s="13" t="n"/>
      <c r="M493" s="11" t="n"/>
      <c r="N493" s="13" t="n"/>
      <c r="O493" s="11" t="n"/>
      <c r="P493" s="11" t="n"/>
      <c r="Q493" s="11" t="n"/>
      <c r="R493" s="12" t="n"/>
      <c r="S493" s="11" t="n"/>
    </row>
    <row r="494" ht="15" customHeight="1" s="21">
      <c r="A494" s="11" t="n"/>
      <c r="B494" s="11" t="n"/>
      <c r="C494" s="11" t="n"/>
      <c r="D494" s="12" t="n"/>
      <c r="E494" s="11" t="n"/>
      <c r="F494" s="11" t="n"/>
      <c r="G494" s="11" t="n"/>
      <c r="H494" s="13" t="n"/>
      <c r="I494" s="12" t="n"/>
      <c r="J494" s="12" t="n"/>
      <c r="K494" s="14">
        <f>IF($H494="","",TODAY()-$H494)</f>
        <v/>
      </c>
      <c r="L494" s="13" t="n"/>
      <c r="M494" s="11" t="n"/>
      <c r="N494" s="13" t="n"/>
      <c r="O494" s="11" t="n"/>
      <c r="P494" s="11" t="n"/>
      <c r="Q494" s="11" t="n"/>
      <c r="R494" s="12" t="n"/>
      <c r="S494" s="11" t="n"/>
    </row>
    <row r="495" ht="15" customHeight="1" s="21">
      <c r="A495" s="11" t="n"/>
      <c r="B495" s="11" t="n"/>
      <c r="C495" s="11" t="n"/>
      <c r="D495" s="12" t="n"/>
      <c r="E495" s="11" t="n"/>
      <c r="F495" s="11" t="n"/>
      <c r="G495" s="11" t="n"/>
      <c r="H495" s="13" t="n"/>
      <c r="I495" s="12" t="n"/>
      <c r="J495" s="12" t="n"/>
      <c r="K495" s="14">
        <f>IF($H495="","",TODAY()-$H495)</f>
        <v/>
      </c>
      <c r="L495" s="13" t="n"/>
      <c r="M495" s="11" t="n"/>
      <c r="N495" s="13" t="n"/>
      <c r="O495" s="11" t="n"/>
      <c r="P495" s="11" t="n"/>
      <c r="Q495" s="11" t="n"/>
      <c r="R495" s="12" t="n"/>
      <c r="S495" s="11" t="n"/>
    </row>
    <row r="496" ht="15" customHeight="1" s="21">
      <c r="A496" s="11" t="n"/>
      <c r="B496" s="11" t="n"/>
      <c r="C496" s="11" t="n"/>
      <c r="D496" s="12" t="n"/>
      <c r="E496" s="11" t="n"/>
      <c r="F496" s="11" t="n"/>
      <c r="G496" s="11" t="n"/>
      <c r="H496" s="13" t="n"/>
      <c r="I496" s="12" t="n"/>
      <c r="J496" s="12" t="n"/>
      <c r="K496" s="14">
        <f>IF($H496="","",TODAY()-$H496)</f>
        <v/>
      </c>
      <c r="L496" s="13" t="n"/>
      <c r="M496" s="11" t="n"/>
      <c r="N496" s="13" t="n"/>
      <c r="O496" s="11" t="n"/>
      <c r="P496" s="11" t="n"/>
      <c r="Q496" s="11" t="n"/>
      <c r="R496" s="12" t="n"/>
      <c r="S496" s="11" t="n"/>
    </row>
    <row r="497" ht="15" customHeight="1" s="21">
      <c r="A497" s="11" t="n"/>
      <c r="B497" s="11" t="n"/>
      <c r="C497" s="11" t="n"/>
      <c r="D497" s="12" t="n"/>
      <c r="E497" s="11" t="n"/>
      <c r="F497" s="11" t="n"/>
      <c r="G497" s="11" t="n"/>
      <c r="H497" s="13" t="n"/>
      <c r="I497" s="12" t="n"/>
      <c r="J497" s="12" t="n"/>
      <c r="K497" s="14">
        <f>IF($H497="","",TODAY()-$H497)</f>
        <v/>
      </c>
      <c r="L497" s="13" t="n"/>
      <c r="M497" s="11" t="n"/>
      <c r="N497" s="13" t="n"/>
      <c r="O497" s="11" t="n"/>
      <c r="P497" s="11" t="n"/>
      <c r="Q497" s="11" t="n"/>
      <c r="R497" s="12" t="n"/>
      <c r="S497" s="11" t="n"/>
    </row>
    <row r="498" ht="15" customHeight="1" s="21">
      <c r="A498" s="11" t="n"/>
      <c r="B498" s="11" t="n"/>
      <c r="C498" s="11" t="n"/>
      <c r="D498" s="12" t="n"/>
      <c r="E498" s="11" t="n"/>
      <c r="F498" s="11" t="n"/>
      <c r="G498" s="11" t="n"/>
      <c r="H498" s="13" t="n"/>
      <c r="I498" s="12" t="n"/>
      <c r="J498" s="12" t="n"/>
      <c r="K498" s="14">
        <f>IF($H498="","",TODAY()-$H498)</f>
        <v/>
      </c>
      <c r="L498" s="13" t="n"/>
      <c r="M498" s="11" t="n"/>
      <c r="N498" s="13" t="n"/>
      <c r="O498" s="11" t="n"/>
      <c r="P498" s="11" t="n"/>
      <c r="Q498" s="11" t="n"/>
      <c r="R498" s="12" t="n"/>
      <c r="S498" s="11" t="n"/>
    </row>
    <row r="499" ht="15" customHeight="1" s="21">
      <c r="A499" s="11" t="n"/>
      <c r="B499" s="11" t="n"/>
      <c r="C499" s="11" t="n"/>
      <c r="D499" s="12" t="n"/>
      <c r="E499" s="11" t="n"/>
      <c r="F499" s="11" t="n"/>
      <c r="G499" s="11" t="n"/>
      <c r="H499" s="13" t="n"/>
      <c r="I499" s="12" t="n"/>
      <c r="J499" s="12" t="n"/>
      <c r="K499" s="14">
        <f>IF($H499="","",TODAY()-$H499)</f>
        <v/>
      </c>
      <c r="L499" s="13" t="n"/>
      <c r="M499" s="11" t="n"/>
      <c r="N499" s="13" t="n"/>
      <c r="O499" s="11" t="n"/>
      <c r="P499" s="11" t="n"/>
      <c r="Q499" s="11" t="n"/>
      <c r="R499" s="12" t="n"/>
      <c r="S499" s="11" t="n"/>
    </row>
    <row r="500" ht="15" customHeight="1" s="21">
      <c r="A500" s="11" t="n"/>
      <c r="B500" s="11" t="n"/>
      <c r="C500" s="11" t="n"/>
      <c r="D500" s="12" t="n"/>
      <c r="E500" s="11" t="n"/>
      <c r="F500" s="11" t="n"/>
      <c r="G500" s="11" t="n"/>
      <c r="H500" s="13" t="n"/>
      <c r="I500" s="12" t="n"/>
      <c r="J500" s="12" t="n"/>
      <c r="K500" s="14">
        <f>IF($H500="","",TODAY()-$H500)</f>
        <v/>
      </c>
      <c r="L500" s="13" t="n"/>
      <c r="M500" s="11" t="n"/>
      <c r="N500" s="13" t="n"/>
      <c r="O500" s="11" t="n"/>
      <c r="P500" s="11" t="n"/>
      <c r="Q500" s="11" t="n"/>
      <c r="R500" s="12" t="n"/>
      <c r="S500" s="11" t="n"/>
    </row>
    <row r="501" ht="15" customHeight="1" s="21">
      <c r="A501" s="11" t="n"/>
      <c r="B501" s="11" t="n"/>
      <c r="C501" s="11" t="n"/>
      <c r="D501" s="12" t="n"/>
      <c r="E501" s="11" t="n"/>
      <c r="F501" s="11" t="n"/>
      <c r="G501" s="11" t="n"/>
      <c r="H501" s="13" t="n"/>
      <c r="I501" s="12" t="n"/>
      <c r="J501" s="12" t="n"/>
      <c r="K501" s="14">
        <f>IF($H501="","",TODAY()-$H501)</f>
        <v/>
      </c>
      <c r="L501" s="13" t="n"/>
      <c r="M501" s="11" t="n"/>
      <c r="N501" s="13" t="n"/>
      <c r="O501" s="11" t="n"/>
      <c r="P501" s="11" t="n"/>
      <c r="Q501" s="11" t="n"/>
      <c r="R501" s="12" t="n"/>
      <c r="S501" s="11" t="n"/>
    </row>
    <row r="502" ht="15" customHeight="1" s="21">
      <c r="A502" s="11" t="n"/>
      <c r="B502" s="11" t="n"/>
      <c r="C502" s="11" t="n"/>
      <c r="D502" s="12" t="n"/>
      <c r="E502" s="11" t="n"/>
      <c r="F502" s="11" t="n"/>
      <c r="G502" s="11" t="n"/>
      <c r="H502" s="13" t="n"/>
      <c r="I502" s="12" t="n"/>
      <c r="J502" s="12" t="n"/>
      <c r="K502" s="14">
        <f>IF($H502="","",TODAY()-$H502)</f>
        <v/>
      </c>
      <c r="L502" s="13" t="n"/>
      <c r="M502" s="11" t="n"/>
      <c r="N502" s="13" t="n"/>
      <c r="O502" s="11" t="n"/>
      <c r="P502" s="11" t="n"/>
      <c r="Q502" s="11" t="n"/>
      <c r="R502" s="12" t="n"/>
      <c r="S502" s="11" t="n"/>
    </row>
  </sheetData>
  <autoFilter ref="A2:S502"/>
  <conditionalFormatting sqref="I3:I502">
    <cfRule type="expression" priority="2" dxfId="7">
      <formula>$I3="To Apply"</formula>
    </cfRule>
    <cfRule type="expression" priority="3" dxfId="14">
      <formula>$I3="Applied"</formula>
    </cfRule>
    <cfRule type="expression" priority="4" dxfId="13">
      <formula>$I3="Phone Screen"</formula>
    </cfRule>
    <cfRule type="expression" priority="5" dxfId="12">
      <formula>$I3="Interview"</formula>
    </cfRule>
    <cfRule type="expression" priority="6" dxfId="11">
      <formula>$I3="Final Round"</formula>
    </cfRule>
    <cfRule type="expression" priority="7" dxfId="6">
      <formula>$I3="Offer"</formula>
    </cfRule>
  </conditionalFormatting>
  <conditionalFormatting sqref="J3:J502">
    <cfRule type="expression" priority="8" dxfId="2">
      <formula>$J3="Rejected"</formula>
    </cfRule>
    <cfRule type="expression" priority="9" dxfId="7">
      <formula>$J3="Ghosted"</formula>
    </cfRule>
    <cfRule type="expression" priority="10" dxfId="7">
      <formula>$J3="Withdrawn"</formula>
    </cfRule>
    <cfRule type="expression" priority="11" dxfId="6">
      <formula>$J3="Offer Accepted"</formula>
    </cfRule>
    <cfRule type="expression" priority="12" dxfId="1">
      <formula>$J3="Offer Declined"</formula>
    </cfRule>
  </conditionalFormatting>
  <conditionalFormatting sqref="K3:K502">
    <cfRule type="expression" priority="16" dxfId="4">
      <formula>AND($H3&lt;&gt;"",$J3="",TODAY()-$H3&gt;=14)</formula>
    </cfRule>
  </conditionalFormatting>
  <conditionalFormatting sqref="N3:N502">
    <cfRule type="expression" priority="17" dxfId="3">
      <formula>AND($N3&lt;&gt;"",$N3&lt;=TODAY(),$J3="")</formula>
    </cfRule>
  </conditionalFormatting>
  <conditionalFormatting sqref="R3:R502">
    <cfRule type="expression" priority="13" dxfId="2">
      <formula>$R3="High"</formula>
    </cfRule>
    <cfRule type="expression" priority="14" dxfId="1">
      <formula>$R3="Medium"</formula>
    </cfRule>
    <cfRule type="expression" priority="15" dxfId="0">
      <formula>$R3="Low"</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0"/>
  <sheetViews>
    <sheetView zoomScaleNormal="100" workbookViewId="0">
      <selection activeCell="A1" sqref="A1"/>
    </sheetView>
  </sheetViews>
  <sheetFormatPr baseColWidth="8" defaultColWidth="8.7109375" defaultRowHeight="15"/>
  <cols>
    <col width="16" customWidth="1" style="21" min="1" max="5"/>
  </cols>
  <sheetData>
    <row r="1" ht="15" customHeight="1" s="21">
      <c r="A1" s="15" t="inlineStr">
        <is>
          <t>Stage</t>
        </is>
      </c>
      <c r="B1" s="15" t="inlineStr">
        <is>
          <t>Outcome</t>
        </is>
      </c>
      <c r="C1" s="15" t="inlineStr">
        <is>
          <t>Work Setup</t>
        </is>
      </c>
      <c r="D1" s="15" t="inlineStr">
        <is>
          <t>Source</t>
        </is>
      </c>
      <c r="E1" s="15" t="inlineStr">
        <is>
          <t>Priority</t>
        </is>
      </c>
      <c r="G1" s="2" t="inlineStr">
        <is>
          <t>Edit these lists to change the dropdown options on the Applications tab.</t>
        </is>
      </c>
    </row>
    <row r="2" ht="15" customHeight="1" s="21">
      <c r="A2" s="16" t="inlineStr">
        <is>
          <t>To Apply</t>
        </is>
      </c>
      <c r="B2" s="16" t="inlineStr">
        <is>
          <t>Rejected</t>
        </is>
      </c>
      <c r="C2" s="16" t="inlineStr">
        <is>
          <t>Remote</t>
        </is>
      </c>
      <c r="D2" s="16" t="inlineStr">
        <is>
          <t>LinkedIn</t>
        </is>
      </c>
      <c r="E2" s="16" t="inlineStr">
        <is>
          <t>High</t>
        </is>
      </c>
    </row>
    <row r="3" ht="15" customHeight="1" s="21">
      <c r="A3" s="16" t="inlineStr">
        <is>
          <t>Applied</t>
        </is>
      </c>
      <c r="B3" s="16" t="inlineStr">
        <is>
          <t>Ghosted</t>
        </is>
      </c>
      <c r="C3" s="16" t="inlineStr">
        <is>
          <t>Hybrid</t>
        </is>
      </c>
      <c r="D3" s="16" t="inlineStr">
        <is>
          <t>Company Site</t>
        </is>
      </c>
      <c r="E3" s="16" t="inlineStr">
        <is>
          <t>Medium</t>
        </is>
      </c>
    </row>
    <row r="4" ht="15" customHeight="1" s="21">
      <c r="A4" s="16" t="inlineStr">
        <is>
          <t>Phone Screen</t>
        </is>
      </c>
      <c r="B4" s="16" t="inlineStr">
        <is>
          <t>Withdrawn</t>
        </is>
      </c>
      <c r="C4" s="16" t="inlineStr">
        <is>
          <t>On-site</t>
        </is>
      </c>
      <c r="D4" s="16" t="inlineStr">
        <is>
          <t>Referral</t>
        </is>
      </c>
      <c r="E4" s="16" t="inlineStr">
        <is>
          <t>Low</t>
        </is>
      </c>
    </row>
    <row r="5" ht="15" customHeight="1" s="21">
      <c r="A5" s="16" t="inlineStr">
        <is>
          <t>Interview</t>
        </is>
      </c>
      <c r="B5" s="16" t="inlineStr">
        <is>
          <t>Offer Accepted</t>
        </is>
      </c>
      <c r="D5" s="16" t="inlineStr">
        <is>
          <t>Recruiter</t>
        </is>
      </c>
    </row>
    <row r="6" ht="15" customHeight="1" s="21">
      <c r="A6" s="16" t="inlineStr">
        <is>
          <t>Final Round</t>
        </is>
      </c>
      <c r="B6" s="16" t="inlineStr">
        <is>
          <t>Offer Declined</t>
        </is>
      </c>
      <c r="D6" s="16" t="inlineStr">
        <is>
          <t>Indeed</t>
        </is>
      </c>
    </row>
    <row r="7" ht="15" customHeight="1" s="21">
      <c r="A7" s="16" t="inlineStr">
        <is>
          <t>Offer</t>
        </is>
      </c>
      <c r="D7" s="16" t="inlineStr">
        <is>
          <t>Glassdoor</t>
        </is>
      </c>
    </row>
    <row r="8" ht="15" customHeight="1" s="21">
      <c r="D8" s="16" t="inlineStr">
        <is>
          <t>Job Board</t>
        </is>
      </c>
    </row>
    <row r="9" ht="15" customHeight="1" s="21">
      <c r="D9" s="16" t="inlineStr">
        <is>
          <t>Networking</t>
        </is>
      </c>
    </row>
    <row r="10" ht="15" customHeight="1" s="21">
      <c r="D10" s="16" t="inlineStr">
        <is>
          <t>Other</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2026-08-02T09:54:54Z</dcterms:created>
  <dcterms:modified xsi:type="dcterms:W3CDTF">2026-10-08T07:33:22Z</dcterms:modified>
  <cp:lastModifiedBy>HARIS WAHEED BHATTI</cp:lastModifiedBy>
  <cp:revision>0</cp:revision>
</cp:coreProperties>
</file>